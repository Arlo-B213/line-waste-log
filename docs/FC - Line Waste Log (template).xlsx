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bedolla\Desktop\"/>
    </mc:Choice>
  </mc:AlternateContent>
  <xr:revisionPtr revIDLastSave="0" documentId="13_ncr:1_{2D0C0632-707E-44FA-8B95-D5F6B4E534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📊 By Station Dashboard" sheetId="2" r:id="rId1"/>
    <sheet name="PFC Product" sheetId="3" r:id="rId2"/>
    <sheet name="Pronto Product" sheetId="4" r:id="rId3"/>
    <sheet name="Little Wok" sheetId="5" r:id="rId4"/>
    <sheet name="Agave" sheetId="6" r:id="rId5"/>
    <sheet name="Print Out" sheetId="7" r:id="rId6"/>
    <sheet name="📊 Waste Summary" sheetId="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0" i="6" l="1"/>
  <c r="E75" i="1" s="1"/>
  <c r="E84" i="2" s="1"/>
  <c r="G84" i="2" s="1"/>
  <c r="D8" i="3"/>
  <c r="C21" i="7"/>
  <c r="C35" i="7" s="1"/>
  <c r="C57" i="7" s="1"/>
  <c r="C67" i="7" s="1"/>
  <c r="D2" i="7"/>
  <c r="E2" i="7" s="1"/>
  <c r="L29" i="6"/>
  <c r="K29" i="6"/>
  <c r="E74" i="1" s="1"/>
  <c r="E83" i="2" s="1"/>
  <c r="G83" i="2" s="1"/>
  <c r="L28" i="6"/>
  <c r="K28" i="6"/>
  <c r="E73" i="1" s="1"/>
  <c r="E82" i="2" s="1"/>
  <c r="G82" i="2" s="1"/>
  <c r="L27" i="6"/>
  <c r="K27" i="6"/>
  <c r="E72" i="1" s="1"/>
  <c r="L26" i="6"/>
  <c r="K26" i="6"/>
  <c r="E71" i="1" s="1"/>
  <c r="L25" i="6"/>
  <c r="K25" i="6"/>
  <c r="E70" i="1" s="1"/>
  <c r="L24" i="6"/>
  <c r="K24" i="6"/>
  <c r="E69" i="1" s="1"/>
  <c r="L23" i="6"/>
  <c r="K23" i="6"/>
  <c r="E68" i="1" s="1"/>
  <c r="G68" i="1" s="1"/>
  <c r="L22" i="6"/>
  <c r="K22" i="6"/>
  <c r="E67" i="1" s="1"/>
  <c r="E76" i="2" s="1"/>
  <c r="G76" i="2" s="1"/>
  <c r="L21" i="6"/>
  <c r="K21" i="6"/>
  <c r="L20" i="6"/>
  <c r="K20" i="6"/>
  <c r="E65" i="1" s="1"/>
  <c r="E74" i="2" s="1"/>
  <c r="G74" i="2" s="1"/>
  <c r="L17" i="6"/>
  <c r="K17" i="6"/>
  <c r="L16" i="6"/>
  <c r="K16" i="6"/>
  <c r="E63" i="1" s="1"/>
  <c r="E72" i="2" s="1"/>
  <c r="G72" i="2" s="1"/>
  <c r="L15" i="6"/>
  <c r="K15" i="6"/>
  <c r="E62" i="1" s="1"/>
  <c r="L14" i="6"/>
  <c r="K14" i="6"/>
  <c r="L11" i="6"/>
  <c r="K11" i="6"/>
  <c r="E60" i="1" s="1"/>
  <c r="L10" i="6"/>
  <c r="K10" i="6"/>
  <c r="E59" i="1" s="1"/>
  <c r="E68" i="2" s="1"/>
  <c r="G68" i="2" s="1"/>
  <c r="L9" i="6"/>
  <c r="K9" i="6"/>
  <c r="E58" i="1" s="1"/>
  <c r="E67" i="2" s="1"/>
  <c r="G67" i="2" s="1"/>
  <c r="L8" i="6"/>
  <c r="K8" i="6"/>
  <c r="E57" i="1" s="1"/>
  <c r="L7" i="6"/>
  <c r="K7" i="6"/>
  <c r="E56" i="1" s="1"/>
  <c r="L6" i="6"/>
  <c r="K6" i="6"/>
  <c r="E55" i="1" s="1"/>
  <c r="L5" i="6"/>
  <c r="K5" i="6"/>
  <c r="E54" i="1" s="1"/>
  <c r="F54" i="1" s="1"/>
  <c r="F63" i="2" s="1"/>
  <c r="L4" i="6"/>
  <c r="K4" i="6"/>
  <c r="L33" i="5"/>
  <c r="K33" i="5"/>
  <c r="E52" i="1" s="1"/>
  <c r="L32" i="5"/>
  <c r="K32" i="5"/>
  <c r="L29" i="5"/>
  <c r="K29" i="5"/>
  <c r="E50" i="1" s="1"/>
  <c r="E59" i="2" s="1"/>
  <c r="G59" i="2" s="1"/>
  <c r="L28" i="5"/>
  <c r="K28" i="5"/>
  <c r="E49" i="1" s="1"/>
  <c r="L27" i="5"/>
  <c r="K27" i="5"/>
  <c r="E48" i="1" s="1"/>
  <c r="L26" i="5"/>
  <c r="K26" i="5"/>
  <c r="E47" i="1" s="1"/>
  <c r="E56" i="2" s="1"/>
  <c r="G56" i="2" s="1"/>
  <c r="L25" i="5"/>
  <c r="K25" i="5"/>
  <c r="E46" i="1" s="1"/>
  <c r="G46" i="1" s="1"/>
  <c r="L24" i="5"/>
  <c r="K24" i="5"/>
  <c r="E45" i="1" s="1"/>
  <c r="F45" i="1" s="1"/>
  <c r="F54" i="2" s="1"/>
  <c r="L23" i="5"/>
  <c r="K23" i="5"/>
  <c r="E44" i="1" s="1"/>
  <c r="L20" i="5"/>
  <c r="K20" i="5"/>
  <c r="L19" i="5"/>
  <c r="K19" i="5"/>
  <c r="E42" i="1" s="1"/>
  <c r="E51" i="2" s="1"/>
  <c r="G51" i="2" s="1"/>
  <c r="L18" i="5"/>
  <c r="K18" i="5"/>
  <c r="E41" i="1" s="1"/>
  <c r="L17" i="5"/>
  <c r="K17" i="5"/>
  <c r="E40" i="1" s="1"/>
  <c r="L16" i="5"/>
  <c r="K16" i="5"/>
  <c r="L15" i="5"/>
  <c r="K15" i="5"/>
  <c r="E38" i="1" s="1"/>
  <c r="G38" i="1" s="1"/>
  <c r="L14" i="5"/>
  <c r="K14" i="5"/>
  <c r="E37" i="1" s="1"/>
  <c r="F37" i="1" s="1"/>
  <c r="F46" i="2" s="1"/>
  <c r="L13" i="5"/>
  <c r="K13" i="5"/>
  <c r="E36" i="1" s="1"/>
  <c r="L12" i="5"/>
  <c r="K12" i="5"/>
  <c r="E35" i="1" s="1"/>
  <c r="E44" i="2" s="1"/>
  <c r="G44" i="2" s="1"/>
  <c r="L11" i="5"/>
  <c r="K11" i="5"/>
  <c r="E34" i="1" s="1"/>
  <c r="E43" i="2" s="1"/>
  <c r="G43" i="2" s="1"/>
  <c r="L10" i="5"/>
  <c r="K10" i="5"/>
  <c r="E33" i="1" s="1"/>
  <c r="L9" i="5"/>
  <c r="K9" i="5"/>
  <c r="E32" i="1" s="1"/>
  <c r="L8" i="5"/>
  <c r="K8" i="5"/>
  <c r="E31" i="1" s="1"/>
  <c r="E40" i="2" s="1"/>
  <c r="G40" i="2" s="1"/>
  <c r="L7" i="5"/>
  <c r="K7" i="5"/>
  <c r="E30" i="1" s="1"/>
  <c r="G30" i="1" s="1"/>
  <c r="L6" i="5"/>
  <c r="K6" i="5"/>
  <c r="E29" i="1" s="1"/>
  <c r="F29" i="1" s="1"/>
  <c r="F38" i="2" s="1"/>
  <c r="L5" i="5"/>
  <c r="K5" i="5"/>
  <c r="E28" i="1" s="1"/>
  <c r="L4" i="5"/>
  <c r="K4" i="5"/>
  <c r="E27" i="1" s="1"/>
  <c r="E36" i="2" s="1"/>
  <c r="G36" i="2" s="1"/>
  <c r="L13" i="4"/>
  <c r="K13" i="4"/>
  <c r="E26" i="1" s="1"/>
  <c r="E35" i="2" s="1"/>
  <c r="G35" i="2" s="1"/>
  <c r="L12" i="4"/>
  <c r="K12" i="4"/>
  <c r="E25" i="1" s="1"/>
  <c r="L11" i="4"/>
  <c r="K11" i="4"/>
  <c r="E24" i="1" s="1"/>
  <c r="L10" i="4"/>
  <c r="K10" i="4"/>
  <c r="E23" i="1" s="1"/>
  <c r="L9" i="4"/>
  <c r="K9" i="4"/>
  <c r="E22" i="1" s="1"/>
  <c r="G22" i="1" s="1"/>
  <c r="L8" i="4"/>
  <c r="K8" i="4"/>
  <c r="L7" i="4"/>
  <c r="K7" i="4"/>
  <c r="E20" i="1" s="1"/>
  <c r="L6" i="4"/>
  <c r="K6" i="4"/>
  <c r="L5" i="4"/>
  <c r="K5" i="4"/>
  <c r="E18" i="1" s="1"/>
  <c r="G18" i="1" s="1"/>
  <c r="L4" i="4"/>
  <c r="K4" i="4"/>
  <c r="E17" i="1" s="1"/>
  <c r="L20" i="3"/>
  <c r="K20" i="3"/>
  <c r="E16" i="1" s="1"/>
  <c r="L19" i="3"/>
  <c r="K19" i="3"/>
  <c r="E15" i="1" s="1"/>
  <c r="L18" i="3"/>
  <c r="K18" i="3"/>
  <c r="E14" i="1" s="1"/>
  <c r="G14" i="1" s="1"/>
  <c r="L17" i="3"/>
  <c r="K17" i="3"/>
  <c r="E13" i="1" s="1"/>
  <c r="F13" i="1" s="1"/>
  <c r="F22" i="2" s="1"/>
  <c r="L16" i="3"/>
  <c r="K16" i="3"/>
  <c r="E12" i="1" s="1"/>
  <c r="L13" i="3"/>
  <c r="K13" i="3"/>
  <c r="E11" i="1" s="1"/>
  <c r="L12" i="3"/>
  <c r="K12" i="3"/>
  <c r="E10" i="1" s="1"/>
  <c r="E19" i="2" s="1"/>
  <c r="G19" i="2" s="1"/>
  <c r="L9" i="3"/>
  <c r="K9" i="3"/>
  <c r="E9" i="1" s="1"/>
  <c r="L8" i="3"/>
  <c r="K8" i="3"/>
  <c r="E8" i="1" s="1"/>
  <c r="L7" i="3"/>
  <c r="K7" i="3"/>
  <c r="L6" i="3"/>
  <c r="K6" i="3"/>
  <c r="E6" i="1" s="1"/>
  <c r="G6" i="1" s="1"/>
  <c r="L5" i="3"/>
  <c r="K5" i="3"/>
  <c r="L4" i="3"/>
  <c r="K4" i="3"/>
  <c r="E4" i="1" s="1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E66" i="1"/>
  <c r="E75" i="2" s="1"/>
  <c r="G75" i="2" s="1"/>
  <c r="E64" i="1"/>
  <c r="E61" i="1"/>
  <c r="F61" i="1" s="1"/>
  <c r="F70" i="2" s="1"/>
  <c r="E53" i="1"/>
  <c r="F53" i="1" s="1"/>
  <c r="E51" i="1"/>
  <c r="E60" i="2" s="1"/>
  <c r="G60" i="2" s="1"/>
  <c r="E43" i="1"/>
  <c r="E52" i="2" s="1"/>
  <c r="G52" i="2" s="1"/>
  <c r="E39" i="1"/>
  <c r="E48" i="2" s="1"/>
  <c r="G48" i="2" s="1"/>
  <c r="E21" i="1"/>
  <c r="F21" i="1" s="1"/>
  <c r="F30" i="2" s="1"/>
  <c r="E19" i="1"/>
  <c r="E28" i="2" s="1"/>
  <c r="G28" i="2" s="1"/>
  <c r="E7" i="1"/>
  <c r="E16" i="2" s="1"/>
  <c r="G16" i="2" s="1"/>
  <c r="E5" i="1"/>
  <c r="E14" i="2" s="1"/>
  <c r="G14" i="2" s="1"/>
  <c r="L30" i="6" l="1"/>
  <c r="F74" i="1"/>
  <c r="F83" i="2" s="1"/>
  <c r="G74" i="1"/>
  <c r="F73" i="1"/>
  <c r="F82" i="2" s="1"/>
  <c r="G73" i="1"/>
  <c r="E80" i="2"/>
  <c r="G80" i="2" s="1"/>
  <c r="F71" i="1"/>
  <c r="F80" i="2" s="1"/>
  <c r="G71" i="1"/>
  <c r="G70" i="1"/>
  <c r="E79" i="2"/>
  <c r="G79" i="2" s="1"/>
  <c r="F70" i="1"/>
  <c r="F79" i="2" s="1"/>
  <c r="F65" i="1"/>
  <c r="F74" i="2" s="1"/>
  <c r="G65" i="1"/>
  <c r="G63" i="1"/>
  <c r="F63" i="1"/>
  <c r="F72" i="2" s="1"/>
  <c r="F62" i="1"/>
  <c r="F71" i="2" s="1"/>
  <c r="G62" i="1"/>
  <c r="E71" i="2"/>
  <c r="G71" i="2" s="1"/>
  <c r="E66" i="2"/>
  <c r="G66" i="2" s="1"/>
  <c r="G57" i="1"/>
  <c r="F57" i="1"/>
  <c r="F66" i="2" s="1"/>
  <c r="E64" i="2"/>
  <c r="G64" i="2" s="1"/>
  <c r="G55" i="1"/>
  <c r="F55" i="1"/>
  <c r="F64" i="2" s="1"/>
  <c r="G54" i="1"/>
  <c r="E63" i="2"/>
  <c r="G63" i="2" s="1"/>
  <c r="E58" i="2"/>
  <c r="G58" i="2" s="1"/>
  <c r="G49" i="1"/>
  <c r="F49" i="1"/>
  <c r="F58" i="2" s="1"/>
  <c r="F47" i="1"/>
  <c r="F56" i="2" s="1"/>
  <c r="G47" i="1"/>
  <c r="E50" i="2"/>
  <c r="G50" i="2" s="1"/>
  <c r="G41" i="1"/>
  <c r="F41" i="1"/>
  <c r="F50" i="2" s="1"/>
  <c r="F39" i="1"/>
  <c r="F48" i="2" s="1"/>
  <c r="G39" i="1"/>
  <c r="E42" i="2"/>
  <c r="G42" i="2" s="1"/>
  <c r="G33" i="1"/>
  <c r="F33" i="1"/>
  <c r="F42" i="2" s="1"/>
  <c r="F31" i="1"/>
  <c r="F40" i="2" s="1"/>
  <c r="G31" i="1"/>
  <c r="E34" i="2"/>
  <c r="G34" i="2" s="1"/>
  <c r="F25" i="1"/>
  <c r="F34" i="2" s="1"/>
  <c r="G25" i="1"/>
  <c r="E32" i="2"/>
  <c r="G32" i="2" s="1"/>
  <c r="G23" i="1"/>
  <c r="F23" i="1"/>
  <c r="F32" i="2" s="1"/>
  <c r="E26" i="2"/>
  <c r="G26" i="2" s="1"/>
  <c r="G17" i="1"/>
  <c r="F17" i="1"/>
  <c r="F26" i="2" s="1"/>
  <c r="E24" i="2"/>
  <c r="G24" i="2" s="1"/>
  <c r="G15" i="1"/>
  <c r="F15" i="1"/>
  <c r="F24" i="2" s="1"/>
  <c r="E18" i="2"/>
  <c r="G18" i="2" s="1"/>
  <c r="G9" i="1"/>
  <c r="F9" i="1"/>
  <c r="F18" i="2" s="1"/>
  <c r="F7" i="1"/>
  <c r="F16" i="2" s="1"/>
  <c r="G7" i="1"/>
  <c r="F2" i="7"/>
  <c r="E21" i="7"/>
  <c r="E35" i="7" s="1"/>
  <c r="E57" i="7" s="1"/>
  <c r="E67" i="7" s="1"/>
  <c r="D21" i="7"/>
  <c r="D35" i="7" s="1"/>
  <c r="D57" i="7" s="1"/>
  <c r="D67" i="7" s="1"/>
  <c r="E25" i="2"/>
  <c r="G25" i="2" s="1"/>
  <c r="F16" i="1"/>
  <c r="F25" i="2" s="1"/>
  <c r="G16" i="1"/>
  <c r="G40" i="1"/>
  <c r="F40" i="1"/>
  <c r="F49" i="2" s="1"/>
  <c r="E49" i="2"/>
  <c r="G49" i="2" s="1"/>
  <c r="F12" i="1"/>
  <c r="F21" i="2" s="1"/>
  <c r="E21" i="2"/>
  <c r="G21" i="2" s="1"/>
  <c r="G12" i="1"/>
  <c r="F60" i="1"/>
  <c r="F69" i="2" s="1"/>
  <c r="E69" i="2"/>
  <c r="G69" i="2" s="1"/>
  <c r="G60" i="1"/>
  <c r="F56" i="1"/>
  <c r="F65" i="2" s="1"/>
  <c r="G56" i="1"/>
  <c r="E65" i="2"/>
  <c r="G65" i="2" s="1"/>
  <c r="B8" i="2"/>
  <c r="G32" i="1"/>
  <c r="E41" i="2"/>
  <c r="G41" i="2" s="1"/>
  <c r="F32" i="1"/>
  <c r="F41" i="2" s="1"/>
  <c r="B5" i="2"/>
  <c r="F4" i="1"/>
  <c r="E76" i="1"/>
  <c r="E13" i="2"/>
  <c r="G13" i="2" s="1"/>
  <c r="E5" i="2"/>
  <c r="G4" i="1"/>
  <c r="G24" i="1"/>
  <c r="E33" i="2"/>
  <c r="G33" i="2" s="1"/>
  <c r="F24" i="1"/>
  <c r="F33" i="2" s="1"/>
  <c r="F36" i="1"/>
  <c r="F45" i="2" s="1"/>
  <c r="E45" i="2"/>
  <c r="G45" i="2" s="1"/>
  <c r="G36" i="1"/>
  <c r="F48" i="1"/>
  <c r="F57" i="2" s="1"/>
  <c r="G48" i="1"/>
  <c r="E57" i="2"/>
  <c r="G57" i="2" s="1"/>
  <c r="G8" i="1"/>
  <c r="E17" i="2"/>
  <c r="G17" i="2" s="1"/>
  <c r="F8" i="1"/>
  <c r="F17" i="2" s="1"/>
  <c r="F20" i="1"/>
  <c r="F29" i="2" s="1"/>
  <c r="E29" i="2"/>
  <c r="G29" i="2" s="1"/>
  <c r="G20" i="1"/>
  <c r="F28" i="1"/>
  <c r="F37" i="2" s="1"/>
  <c r="E37" i="2"/>
  <c r="G37" i="2" s="1"/>
  <c r="G28" i="1"/>
  <c r="F44" i="1"/>
  <c r="F53" i="2" s="1"/>
  <c r="E53" i="2"/>
  <c r="G53" i="2" s="1"/>
  <c r="G44" i="1"/>
  <c r="F52" i="1"/>
  <c r="F61" i="2" s="1"/>
  <c r="E61" i="2"/>
  <c r="G61" i="2" s="1"/>
  <c r="G52" i="1"/>
  <c r="F10" i="1"/>
  <c r="F19" i="2" s="1"/>
  <c r="F18" i="1"/>
  <c r="F27" i="2" s="1"/>
  <c r="G10" i="1"/>
  <c r="G50" i="1"/>
  <c r="E78" i="2"/>
  <c r="G78" i="2" s="1"/>
  <c r="G69" i="1"/>
  <c r="G72" i="1"/>
  <c r="E81" i="2"/>
  <c r="G81" i="2" s="1"/>
  <c r="F72" i="1"/>
  <c r="F81" i="2" s="1"/>
  <c r="E20" i="2"/>
  <c r="G20" i="2" s="1"/>
  <c r="G11" i="1"/>
  <c r="F11" i="1"/>
  <c r="F20" i="2" s="1"/>
  <c r="F58" i="1"/>
  <c r="F67" i="2" s="1"/>
  <c r="F69" i="1"/>
  <c r="F78" i="2" s="1"/>
  <c r="G64" i="1"/>
  <c r="E73" i="2"/>
  <c r="G73" i="2" s="1"/>
  <c r="F64" i="1"/>
  <c r="F73" i="2" s="1"/>
  <c r="F6" i="1"/>
  <c r="F15" i="2" s="1"/>
  <c r="E15" i="2"/>
  <c r="G15" i="2" s="1"/>
  <c r="F14" i="1"/>
  <c r="F23" i="2" s="1"/>
  <c r="E23" i="2"/>
  <c r="G23" i="2" s="1"/>
  <c r="F22" i="1"/>
  <c r="F31" i="2" s="1"/>
  <c r="E31" i="2"/>
  <c r="G31" i="2" s="1"/>
  <c r="F30" i="1"/>
  <c r="F39" i="2" s="1"/>
  <c r="E39" i="2"/>
  <c r="G39" i="2" s="1"/>
  <c r="F38" i="1"/>
  <c r="F47" i="2" s="1"/>
  <c r="E47" i="2"/>
  <c r="G47" i="2" s="1"/>
  <c r="F46" i="1"/>
  <c r="F55" i="2" s="1"/>
  <c r="E55" i="2"/>
  <c r="G55" i="2" s="1"/>
  <c r="F68" i="1"/>
  <c r="F77" i="2" s="1"/>
  <c r="E77" i="2"/>
  <c r="G77" i="2" s="1"/>
  <c r="F42" i="1"/>
  <c r="F51" i="2" s="1"/>
  <c r="G42" i="1"/>
  <c r="G58" i="1"/>
  <c r="F5" i="1"/>
  <c r="F14" i="2" s="1"/>
  <c r="F66" i="1"/>
  <c r="F75" i="2" s="1"/>
  <c r="B6" i="2"/>
  <c r="E27" i="2"/>
  <c r="G27" i="2" s="1"/>
  <c r="E70" i="2"/>
  <c r="G70" i="2" s="1"/>
  <c r="G61" i="1"/>
  <c r="F26" i="1"/>
  <c r="F35" i="2" s="1"/>
  <c r="F34" i="1"/>
  <c r="F43" i="2" s="1"/>
  <c r="F50" i="1"/>
  <c r="F59" i="2" s="1"/>
  <c r="G26" i="1"/>
  <c r="G34" i="1"/>
  <c r="E6" i="2"/>
  <c r="G5" i="1"/>
  <c r="E22" i="2"/>
  <c r="G22" i="2" s="1"/>
  <c r="G13" i="1"/>
  <c r="E30" i="2"/>
  <c r="G30" i="2" s="1"/>
  <c r="G21" i="1"/>
  <c r="E38" i="2"/>
  <c r="G38" i="2" s="1"/>
  <c r="G29" i="1"/>
  <c r="E46" i="2"/>
  <c r="G46" i="2" s="1"/>
  <c r="G37" i="1"/>
  <c r="E54" i="2"/>
  <c r="G54" i="2" s="1"/>
  <c r="G45" i="1"/>
  <c r="E62" i="2"/>
  <c r="G62" i="2" s="1"/>
  <c r="E8" i="2"/>
  <c r="G53" i="1"/>
  <c r="G66" i="1"/>
  <c r="F62" i="2"/>
  <c r="F19" i="1"/>
  <c r="F28" i="2" s="1"/>
  <c r="F27" i="1"/>
  <c r="F35" i="1"/>
  <c r="F44" i="2" s="1"/>
  <c r="F43" i="1"/>
  <c r="F52" i="2" s="1"/>
  <c r="F51" i="1"/>
  <c r="F60" i="2" s="1"/>
  <c r="F59" i="1"/>
  <c r="F68" i="2" s="1"/>
  <c r="F67" i="1"/>
  <c r="F76" i="2" s="1"/>
  <c r="F75" i="1"/>
  <c r="F84" i="2" s="1"/>
  <c r="B7" i="2"/>
  <c r="G19" i="1"/>
  <c r="G27" i="1"/>
  <c r="G35" i="1"/>
  <c r="G43" i="1"/>
  <c r="G51" i="1"/>
  <c r="G59" i="1"/>
  <c r="G67" i="1"/>
  <c r="G75" i="1"/>
  <c r="E7" i="2"/>
  <c r="G2" i="7" l="1"/>
  <c r="F21" i="7"/>
  <c r="F35" i="7" s="1"/>
  <c r="F57" i="7" s="1"/>
  <c r="F67" i="7" s="1"/>
  <c r="F6" i="2"/>
  <c r="F76" i="1"/>
  <c r="C9" i="2" s="1"/>
  <c r="F13" i="2"/>
  <c r="F5" i="2"/>
  <c r="C5" i="2"/>
  <c r="C6" i="2"/>
  <c r="B9" i="2"/>
  <c r="C8" i="2"/>
  <c r="F8" i="2"/>
  <c r="F36" i="2"/>
  <c r="F7" i="2"/>
  <c r="C7" i="2"/>
  <c r="H2" i="7" l="1"/>
  <c r="G21" i="7"/>
  <c r="G35" i="7" s="1"/>
  <c r="G57" i="7" s="1"/>
  <c r="G67" i="7" s="1"/>
  <c r="D6" i="2"/>
  <c r="J6" i="2"/>
  <c r="J5" i="2"/>
  <c r="D5" i="2"/>
  <c r="D7" i="2"/>
  <c r="J7" i="2"/>
  <c r="J8" i="2"/>
  <c r="D8" i="2"/>
  <c r="I2" i="7" l="1"/>
  <c r="I21" i="7" s="1"/>
  <c r="I35" i="7" s="1"/>
  <c r="I57" i="7" s="1"/>
  <c r="I67" i="7" s="1"/>
  <c r="H21" i="7"/>
  <c r="H35" i="7" s="1"/>
  <c r="H57" i="7" s="1"/>
  <c r="H67" i="7" s="1"/>
</calcChain>
</file>

<file path=xl/sharedStrings.xml><?xml version="1.0" encoding="utf-8"?>
<sst xmlns="http://schemas.openxmlformats.org/spreadsheetml/2006/main" count="1063" uniqueCount="210">
  <si>
    <t xml:space="preserve">  📊  FOOD WASTE SUMMARY  ·  Week of 3/23 – 3/29</t>
  </si>
  <si>
    <t xml:space="preserve">  Enter waste amounts directly in each station sheet  ·  Update yellow Cost/Unit cells below  ·  🔴 &gt;30% waste  🟠 15–30%  🟢 &lt;15%</t>
  </si>
  <si>
    <t>Station</t>
  </si>
  <si>
    <t>Item</t>
  </si>
  <si>
    <t>UOM</t>
  </si>
  <si>
    <t>Cost/Unit ($)
✏ Edit me</t>
  </si>
  <si>
    <t>Weekly Waste
(units)</t>
  </si>
  <si>
    <t>Waste Cost ($)</t>
  </si>
  <si>
    <t>Status</t>
  </si>
  <si>
    <t>Recipe Book Source</t>
  </si>
  <si>
    <t>PFC Product</t>
  </si>
  <si>
    <t>Legs</t>
  </si>
  <si>
    <t>ea.</t>
  </si>
  <si>
    <t>Per piece — PFC recipe book</t>
  </si>
  <si>
    <t>Thighs</t>
  </si>
  <si>
    <t>Wings</t>
  </si>
  <si>
    <t>Breasts</t>
  </si>
  <si>
    <t>Biscuits</t>
  </si>
  <si>
    <t>Estimated per piece</t>
  </si>
  <si>
    <t>Popcorn Chicken</t>
  </si>
  <si>
    <t>Per serving — PFC recipe book</t>
  </si>
  <si>
    <t>Mashed Potato (cup)</t>
  </si>
  <si>
    <t>Lbs.</t>
  </si>
  <si>
    <t>Mac &amp; Cheese (cup)</t>
  </si>
  <si>
    <t>Per serving — estimated</t>
  </si>
  <si>
    <t>Mashed Potato (pan)</t>
  </si>
  <si>
    <t>Per lb — PFC recipe book</t>
  </si>
  <si>
    <t>Mac &amp; Cheese (pan)</t>
  </si>
  <si>
    <t>Per lb — estimated</t>
  </si>
  <si>
    <t>Coleslaw</t>
  </si>
  <si>
    <t>Green Bean / Broccoli</t>
  </si>
  <si>
    <t>Per lb — PFC recipe book (green beans)</t>
  </si>
  <si>
    <t>Corn</t>
  </si>
  <si>
    <t>Pronto Product</t>
  </si>
  <si>
    <t>Pepperoni Pizza</t>
  </si>
  <si>
    <t>slice</t>
  </si>
  <si>
    <t>Per pizza — Pronto recipe book</t>
  </si>
  <si>
    <t>MeatLover Pizza</t>
  </si>
  <si>
    <t>Veggie Pizza</t>
  </si>
  <si>
    <t>Specialty Pizza</t>
  </si>
  <si>
    <t>Per pizza — Pronto recipe book (Supreme)</t>
  </si>
  <si>
    <t>Cheese Pizza</t>
  </si>
  <si>
    <t>Garlic Bread</t>
  </si>
  <si>
    <t>Per piece — Pronto recipe book</t>
  </si>
  <si>
    <t>Lasagna</t>
  </si>
  <si>
    <t>pan</t>
  </si>
  <si>
    <t>Per serving — Pronto recipe book</t>
  </si>
  <si>
    <t>Mozzarella Sticks</t>
  </si>
  <si>
    <t>Italian Sausage</t>
  </si>
  <si>
    <t>Meatballs</t>
  </si>
  <si>
    <t>Little Wok</t>
  </si>
  <si>
    <t>Chow Mein</t>
  </si>
  <si>
    <t>LBS</t>
  </si>
  <si>
    <t>Per batch — LW recipe book</t>
  </si>
  <si>
    <t>Fried Rice</t>
  </si>
  <si>
    <t>Per serving — LW recipe book</t>
  </si>
  <si>
    <t>Steamed Rice</t>
  </si>
  <si>
    <t>Ginger Fish</t>
  </si>
  <si>
    <t>Orange Chicken</t>
  </si>
  <si>
    <t>Per batch (10 srv) — LW recipe book</t>
  </si>
  <si>
    <t>Green Bean Chicken</t>
  </si>
  <si>
    <t>Per batch (9 srv) — LW recipe book</t>
  </si>
  <si>
    <t>Steamed Veggie</t>
  </si>
  <si>
    <t>Beef Broccoli</t>
  </si>
  <si>
    <t>Eggplant Tofu</t>
  </si>
  <si>
    <t>Chili Sweet Shrimp</t>
  </si>
  <si>
    <t>Ribs</t>
  </si>
  <si>
    <t>Per batch — LW recipe book (BBQ Pork Ribs)</t>
  </si>
  <si>
    <t>Teryaki Chicken</t>
  </si>
  <si>
    <t>Spicy Beef</t>
  </si>
  <si>
    <t>Per batch — LW recipe book (Mongolian beef)</t>
  </si>
  <si>
    <t>Kung Pao Chicken</t>
  </si>
  <si>
    <t>Wallnut Shrimp</t>
  </si>
  <si>
    <t>Beef Galbi</t>
  </si>
  <si>
    <t>Per batch — LW recipe book (Galbi)</t>
  </si>
  <si>
    <t>Pork Belly</t>
  </si>
  <si>
    <t>Per serving — LW recipe book (Mao Pork Belly)</t>
  </si>
  <si>
    <t>Veggie Eggroll</t>
  </si>
  <si>
    <t>Ea.</t>
  </si>
  <si>
    <t>Per piece — LW recipe book (Veg spring roll)</t>
  </si>
  <si>
    <t>Chicken Eggroll</t>
  </si>
  <si>
    <t>Per piece — LW recipe book</t>
  </si>
  <si>
    <t>Pork Eggroll</t>
  </si>
  <si>
    <t>Cream Cheese Wontons</t>
  </si>
  <si>
    <t>Plantains</t>
  </si>
  <si>
    <t>Butterfly Shrimps</t>
  </si>
  <si>
    <t>Per serving — LW recipe book (Fried shrimp)</t>
  </si>
  <si>
    <t>Poke Bowl</t>
  </si>
  <si>
    <t>Per bowl — LW recipe book</t>
  </si>
  <si>
    <t>Wonton</t>
  </si>
  <si>
    <t>Egg Drop</t>
  </si>
  <si>
    <t>Agave</t>
  </si>
  <si>
    <t>Carne Asada</t>
  </si>
  <si>
    <t>Per 10 lbs — Agave recipe book</t>
  </si>
  <si>
    <t>Chicken Tinga</t>
  </si>
  <si>
    <t>Per 80 lbs batch — Agave recipe book</t>
  </si>
  <si>
    <t>Beef Barbacoa</t>
  </si>
  <si>
    <t>Per 100 lbs batch — Agave recipe book</t>
  </si>
  <si>
    <t>Ground Beef</t>
  </si>
  <si>
    <t>Carnitas</t>
  </si>
  <si>
    <t>Per serving — Agave recipe book</t>
  </si>
  <si>
    <t>16/20 Shrimp</t>
  </si>
  <si>
    <t>Breaded Shrimp</t>
  </si>
  <si>
    <t>Battered Fish</t>
  </si>
  <si>
    <t>Spanish Rice</t>
  </si>
  <si>
    <t>Per 60 lb batch — Agave recipe book</t>
  </si>
  <si>
    <t>Cilantro Lime Rice</t>
  </si>
  <si>
    <t>Per 24 lb batch — Agave recipe book</t>
  </si>
  <si>
    <t>Refried Beans</t>
  </si>
  <si>
    <t>Per 4 gal batch — Agave recipe book</t>
  </si>
  <si>
    <t>Black Beans</t>
  </si>
  <si>
    <t>Per 30 gal batch — Agave recipe book</t>
  </si>
  <si>
    <t>Pico de Gallo</t>
  </si>
  <si>
    <t>Per batch — Agave recipe book</t>
  </si>
  <si>
    <t>Guacamole</t>
  </si>
  <si>
    <t>Sour Cream</t>
  </si>
  <si>
    <t>Per unit — Agave recipe book</t>
  </si>
  <si>
    <t>Enchilada Sauce</t>
  </si>
  <si>
    <t>Cheese Sauce</t>
  </si>
  <si>
    <t>Chipotle</t>
  </si>
  <si>
    <t>Per 5 gal batch — Agave recipe book (Chipotle Lime)</t>
  </si>
  <si>
    <t>Mixed Veggies</t>
  </si>
  <si>
    <t>Per batch — LW recipe book (Stir fry veg)</t>
  </si>
  <si>
    <t>Taco Shell</t>
  </si>
  <si>
    <t>Per shell — estimated</t>
  </si>
  <si>
    <t>Lettuce</t>
  </si>
  <si>
    <t>Cabbage</t>
  </si>
  <si>
    <t>Jalapeno</t>
  </si>
  <si>
    <t>WEEKLY TOTALS</t>
  </si>
  <si>
    <t xml:space="preserve">  🎯  STATUS KEY:   🟢 Low (&lt; 5 units)  =  Great   |   🟠 Moderate (5–9)  =  Review portions   |   🔴 High (10+)  =  Reduce prep / adjust par levels</t>
  </si>
  <si>
    <t xml:space="preserve">  📊  WASTE COST BY STATION  ·  Week of 3/23 – 3/29</t>
  </si>
  <si>
    <t xml:space="preserve">  Waste amounts flow automatically from station sheets  ·  Update Cost/Unit in the Waste Summary tab  ·  🔴 &gt;30% of total  🟠 15–30%  🟢 &lt;15%</t>
  </si>
  <si>
    <t xml:space="preserve">  STATION BREAKDOWN</t>
  </si>
  <si>
    <t>Total Waste
Units</t>
  </si>
  <si>
    <t>% of Grand Total</t>
  </si>
  <si>
    <t>Top Wasted Item
(by units)</t>
  </si>
  <si>
    <t>Highest $
Waste Item</t>
  </si>
  <si>
    <t>🍗  PFC Product</t>
  </si>
  <si>
    <t>🍕  Pronto Product</t>
  </si>
  <si>
    <t>🥢  Little Wok</t>
  </si>
  <si>
    <t>🌮  Agave</t>
  </si>
  <si>
    <t>TOTAL — ALL STATIONS</t>
  </si>
  <si>
    <t xml:space="preserve">  ITEM-LEVEL DETAIL BY STATION</t>
  </si>
  <si>
    <t>Cost/Unit ($)</t>
  </si>
  <si>
    <t xml:space="preserve">  PFC Product  ·  Weekly Waste Log</t>
  </si>
  <si>
    <t>Target
Waste %</t>
  </si>
  <si>
    <t>Mon 3/23</t>
  </si>
  <si>
    <t>Tue 3/24</t>
  </si>
  <si>
    <t>Wed 3/25</t>
  </si>
  <si>
    <t>Thu 3/26</t>
  </si>
  <si>
    <t>Fri 2/27</t>
  </si>
  <si>
    <t>Sat 2/28</t>
  </si>
  <si>
    <t>Sun 3/29</t>
  </si>
  <si>
    <t>Weekly
Total</t>
  </si>
  <si>
    <t>Avg Daily
Waste</t>
  </si>
  <si>
    <t>🍗  Chicken</t>
  </si>
  <si>
    <t>🥣  Cupped Sides</t>
  </si>
  <si>
    <t>🍲  Panned Sides</t>
  </si>
  <si>
    <t xml:space="preserve">  Pronto Product  ·  Weekly Waste Log</t>
  </si>
  <si>
    <t>🍕  Pizza &amp; Mains</t>
  </si>
  <si>
    <t xml:space="preserve">  Little Wok  ·  Weekly Waste Log</t>
  </si>
  <si>
    <t>🥢  Entrees</t>
  </si>
  <si>
    <t>🥟  Sides</t>
  </si>
  <si>
    <t>🍜  Soups</t>
  </si>
  <si>
    <t xml:space="preserve">  Agave  ·  Weekly Waste Log</t>
  </si>
  <si>
    <t>🌮  Proteins</t>
  </si>
  <si>
    <t>🍚  Rice &amp; Beans</t>
  </si>
  <si>
    <t>🫙  Condiments &amp; Extras</t>
  </si>
  <si>
    <t>Sous Chef Badge #</t>
  </si>
  <si>
    <t>CLOSING TIME</t>
  </si>
  <si>
    <t>3 Lbs. = 1 gal</t>
  </si>
  <si>
    <t>Total</t>
  </si>
  <si>
    <t>Sun
3/29</t>
  </si>
  <si>
    <t>Sat
2/28</t>
  </si>
  <si>
    <t>Fri
2/27</t>
  </si>
  <si>
    <t>Thurs
3/26</t>
  </si>
  <si>
    <t>Wed
3/25</t>
  </si>
  <si>
    <t>Tue
3/24</t>
  </si>
  <si>
    <t>Mon
3/23</t>
  </si>
  <si>
    <t>SOUPS</t>
  </si>
  <si>
    <t>SIDES</t>
  </si>
  <si>
    <t>LITTLE WOK</t>
  </si>
  <si>
    <t>LITTLE WOK - Weekly Tracking</t>
  </si>
  <si>
    <t>Closing Time</t>
  </si>
  <si>
    <t>Garlic bread</t>
  </si>
  <si>
    <t>Slice</t>
  </si>
  <si>
    <t>Pronto PRODUCT
(S)=Slice (W)=Whole</t>
  </si>
  <si>
    <t>PRONTO PRODUCT - Weekly Tracking</t>
  </si>
  <si>
    <t>Mac &amp; Cheese</t>
  </si>
  <si>
    <t>Mashed Potato</t>
  </si>
  <si>
    <t>Panned Sides</t>
  </si>
  <si>
    <t>Mashed potato</t>
  </si>
  <si>
    <t>Cupped Sides</t>
  </si>
  <si>
    <t>PFC PRODUCT</t>
  </si>
  <si>
    <t>PFC PRODUCT - Weekly Tracking</t>
  </si>
  <si>
    <t>-</t>
  </si>
  <si>
    <t>AGAVE - Weekly Tracking</t>
  </si>
  <si>
    <t>Chicken tinga</t>
  </si>
  <si>
    <t>Beef barbacoa</t>
  </si>
  <si>
    <t>Cilantro lime rice</t>
  </si>
  <si>
    <t>Pico de gallo</t>
  </si>
  <si>
    <t>Guacaomole</t>
  </si>
  <si>
    <t>Taco shell</t>
  </si>
  <si>
    <t>Chicken taco</t>
  </si>
  <si>
    <t>Beef taco</t>
  </si>
  <si>
    <t>Barbacoa taco</t>
  </si>
  <si>
    <t>Fish Sauce</t>
  </si>
  <si>
    <t>Refried beans</t>
  </si>
  <si>
    <t>Black beans</t>
  </si>
  <si>
    <t>Cheese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</si>
</sst>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"/>
    <numFmt numFmtId="166" formatCode="0.0%"/>
    <numFmt numFmtId="171" formatCode="ddd&quot; &quot;\_x000a_m/dd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sz val="10"/>
      <color rgb="FF1A1A2E"/>
      <name val="Calibri"/>
    </font>
    <font>
      <sz val="9"/>
      <color rgb="FF555555"/>
      <name val="Calibri"/>
    </font>
    <font>
      <sz val="10"/>
      <color rgb="FF333333"/>
      <name val="Calibri"/>
    </font>
    <font>
      <sz val="10"/>
      <color rgb="FFE74C3C"/>
      <name val="Calibri"/>
    </font>
    <font>
      <b/>
      <sz val="10"/>
      <color rgb="FFE74C3C"/>
      <name val="Calibri"/>
    </font>
    <font>
      <b/>
      <sz val="15"/>
      <color rgb="FFFFFFFF"/>
      <name val="Calibri"/>
    </font>
    <font>
      <i/>
      <sz val="10"/>
      <color rgb="FFAAAAAA"/>
      <name val="Calibri"/>
    </font>
    <font>
      <b/>
      <sz val="10"/>
      <color rgb="FFFFFFFF"/>
      <name val="Calibri"/>
    </font>
    <font>
      <b/>
      <sz val="10"/>
      <color rgb="FF0F3460"/>
      <name val="Calibri"/>
    </font>
    <font>
      <sz val="10"/>
      <color rgb="FF222222"/>
      <name val="Calibri"/>
    </font>
    <font>
      <sz val="9"/>
      <color rgb="FF777777"/>
      <name val="Calibri"/>
    </font>
    <font>
      <b/>
      <sz val="10"/>
      <color rgb="FF333333"/>
      <name val="Calibri"/>
    </font>
    <font>
      <sz val="10"/>
      <name val="Calibri"/>
    </font>
    <font>
      <i/>
      <sz val="10"/>
      <color rgb="FF444444"/>
      <name val="Calibri"/>
    </font>
    <font>
      <b/>
      <sz val="11"/>
      <color rgb="FFE74C3C"/>
      <name val="Calibri"/>
    </font>
    <font>
      <b/>
      <sz val="11"/>
      <color rgb="FF1A5276"/>
      <name val="Calibri"/>
    </font>
    <font>
      <b/>
      <sz val="11"/>
      <color rgb="FF145A32"/>
      <name val="Calibri"/>
    </font>
    <font>
      <b/>
      <sz val="11"/>
      <color rgb="FFF9CA24"/>
      <name val="Calibri"/>
    </font>
    <font>
      <b/>
      <sz val="9"/>
      <name val="Calibri"/>
    </font>
    <font>
      <i/>
      <sz val="8"/>
      <color rgb="FF888888"/>
      <name val="Calibri"/>
    </font>
    <font>
      <b/>
      <sz val="10"/>
      <color rgb="FF1A5276"/>
      <name val="Calibri"/>
    </font>
    <font>
      <sz val="10"/>
      <name val="Arial"/>
    </font>
    <font>
      <b/>
      <sz val="11"/>
      <color rgb="FF00000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sz val="10"/>
      <color rgb="FFE74C3C"/>
      <name val="Calibri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color rgb="FF00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27AE60"/>
      </patternFill>
    </fill>
    <fill>
      <patternFill patternType="solid">
        <fgColor rgb="FFE74C3C"/>
      </patternFill>
    </fill>
    <fill>
      <patternFill patternType="solid">
        <fgColor rgb="FF2C3E6B"/>
      </patternFill>
    </fill>
    <fill>
      <patternFill patternType="solid">
        <fgColor rgb="FFFADBD8"/>
      </patternFill>
    </fill>
    <fill>
      <patternFill patternType="solid">
        <fgColor rgb="FFF9CA24"/>
      </patternFill>
    </fill>
    <fill>
      <patternFill patternType="solid">
        <fgColor rgb="FFF2F4F8"/>
      </patternFill>
    </fill>
    <fill>
      <patternFill patternType="solid">
        <fgColor rgb="FF16213E"/>
      </patternFill>
    </fill>
    <fill>
      <patternFill patternType="solid">
        <fgColor rgb="FFFFFFFF"/>
      </patternFill>
    </fill>
    <fill>
      <patternFill patternType="solid">
        <fgColor rgb="FFFEF9E7"/>
      </patternFill>
    </fill>
    <fill>
      <patternFill patternType="solid">
        <fgColor rgb="FFD6E4F0"/>
      </patternFill>
    </fill>
    <fill>
      <patternFill patternType="solid">
        <fgColor rgb="FFFFF0EE"/>
      </patternFill>
    </fill>
    <fill>
      <patternFill patternType="solid">
        <fgColor rgb="FFE9F7EF"/>
      </patternFill>
    </fill>
    <fill>
      <patternFill patternType="solid">
        <fgColor rgb="FF1A6FB5"/>
      </patternFill>
    </fill>
    <fill>
      <patternFill patternType="solid">
        <fgColor rgb="FFC0392B"/>
      </patternFill>
    </fill>
    <fill>
      <patternFill patternType="solid">
        <fgColor rgb="FF117A65"/>
      </patternFill>
    </fill>
    <fill>
      <patternFill patternType="solid">
        <fgColor rgb="FF7D3C98"/>
      </patternFill>
    </fill>
    <fill>
      <patternFill patternType="solid">
        <fgColor rgb="FFBDD7EE"/>
      </patternFill>
    </fill>
    <fill>
      <patternFill patternType="solid">
        <fgColor rgb="FF4472C4"/>
      </patternFill>
    </fill>
    <fill>
      <patternFill patternType="solid">
        <fgColor rgb="FFFFFF00"/>
      </patternFill>
    </fill>
  </fills>
  <borders count="8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/>
    </xf>
    <xf numFmtId="0" fontId="13" fillId="11" borderId="1" xfId="0" applyFont="1" applyFill="1" applyBorder="1" applyAlignment="1">
      <alignment horizontal="left" vertical="center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/>
    </xf>
    <xf numFmtId="165" fontId="7" fillId="7" borderId="1" xfId="0" applyNumberFormat="1" applyFont="1" applyFill="1" applyBorder="1" applyAlignment="1">
      <alignment horizontal="center" vertical="center"/>
    </xf>
    <xf numFmtId="164" fontId="15" fillId="1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 wrapText="1"/>
    </xf>
    <xf numFmtId="9" fontId="6" fillId="11" borderId="1" xfId="0" applyNumberFormat="1" applyFont="1" applyFill="1" applyBorder="1" applyAlignment="1">
      <alignment horizontal="center" vertical="center"/>
    </xf>
    <xf numFmtId="165" fontId="7" fillId="11" borderId="1" xfId="0" applyNumberFormat="1" applyFont="1" applyFill="1" applyBorder="1" applyAlignment="1">
      <alignment horizontal="center" vertical="center"/>
    </xf>
    <xf numFmtId="165" fontId="8" fillId="11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center" vertical="center" wrapText="1"/>
    </xf>
    <xf numFmtId="9" fontId="6" fillId="13" borderId="1" xfId="0" applyNumberFormat="1" applyFont="1" applyFill="1" applyBorder="1" applyAlignment="1">
      <alignment horizontal="center" vertical="center"/>
    </xf>
    <xf numFmtId="165" fontId="7" fillId="13" borderId="1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0" fontId="0" fillId="11" borderId="0" xfId="0" applyFill="1"/>
    <xf numFmtId="0" fontId="0" fillId="13" borderId="0" xfId="0" applyFill="1"/>
    <xf numFmtId="0" fontId="4" fillId="11" borderId="0" xfId="0" applyFont="1" applyFill="1"/>
    <xf numFmtId="0" fontId="5" fillId="11" borderId="0" xfId="0" applyFont="1" applyFill="1"/>
    <xf numFmtId="0" fontId="7" fillId="11" borderId="0" xfId="0" applyFont="1" applyFill="1"/>
    <xf numFmtId="0" fontId="8" fillId="11" borderId="0" xfId="0" applyFont="1" applyFill="1"/>
    <xf numFmtId="0" fontId="4" fillId="13" borderId="0" xfId="0" applyFont="1" applyFill="1"/>
    <xf numFmtId="0" fontId="5" fillId="13" borderId="0" xfId="0" applyFont="1" applyFill="1"/>
    <xf numFmtId="0" fontId="7" fillId="13" borderId="0" xfId="0" applyFont="1" applyFill="1"/>
    <xf numFmtId="0" fontId="8" fillId="13" borderId="0" xfId="0" applyFont="1" applyFill="1"/>
    <xf numFmtId="0" fontId="22" fillId="0" borderId="0" xfId="0" applyFont="1"/>
    <xf numFmtId="164" fontId="0" fillId="0" borderId="0" xfId="0" applyNumberFormat="1"/>
    <xf numFmtId="165" fontId="18" fillId="14" borderId="1" xfId="0" applyNumberFormat="1" applyFont="1" applyFill="1" applyBorder="1" applyAlignment="1">
      <alignment horizontal="center" vertical="center"/>
    </xf>
    <xf numFmtId="164" fontId="19" fillId="12" borderId="1" xfId="0" applyNumberFormat="1" applyFont="1" applyFill="1" applyBorder="1" applyAlignment="1">
      <alignment horizontal="center" vertical="center"/>
    </xf>
    <xf numFmtId="166" fontId="20" fillId="15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" fillId="16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/>
    </xf>
    <xf numFmtId="0" fontId="3" fillId="18" borderId="1" xfId="0" applyFont="1" applyFill="1" applyBorder="1" applyAlignment="1">
      <alignment horizontal="left" vertical="center"/>
    </xf>
    <xf numFmtId="0" fontId="3" fillId="19" borderId="1" xfId="0" applyFont="1" applyFill="1" applyBorder="1" applyAlignment="1">
      <alignment horizontal="left" vertical="center"/>
    </xf>
    <xf numFmtId="165" fontId="21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left" vertical="center"/>
    </xf>
    <xf numFmtId="165" fontId="7" fillId="14" borderId="1" xfId="0" applyNumberFormat="1" applyFont="1" applyFill="1" applyBorder="1" applyAlignment="1">
      <alignment horizontal="center" vertical="center"/>
    </xf>
    <xf numFmtId="164" fontId="24" fillId="12" borderId="1" xfId="0" applyNumberFormat="1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0" fillId="0" borderId="0" xfId="0"/>
    <xf numFmtId="0" fontId="25" fillId="11" borderId="7" xfId="0" applyFont="1" applyFill="1" applyBorder="1" applyAlignment="1">
      <alignment horizontal="center" vertical="center"/>
    </xf>
    <xf numFmtId="0" fontId="0" fillId="20" borderId="7" xfId="0" applyFill="1" applyBorder="1"/>
    <xf numFmtId="0" fontId="26" fillId="20" borderId="7" xfId="0" applyFont="1" applyFill="1" applyBorder="1"/>
    <xf numFmtId="0" fontId="25" fillId="11" borderId="7" xfId="0" applyFont="1" applyFill="1" applyBorder="1" applyAlignment="1">
      <alignment horizontal="left" vertical="center"/>
    </xf>
    <xf numFmtId="0" fontId="27" fillId="21" borderId="7" xfId="0" applyFont="1" applyFill="1" applyBorder="1" applyAlignment="1">
      <alignment horizontal="center" vertical="center" wrapText="1"/>
    </xf>
    <xf numFmtId="0" fontId="0" fillId="22" borderId="7" xfId="0" applyFill="1" applyBorder="1"/>
    <xf numFmtId="0" fontId="26" fillId="22" borderId="7" xfId="0" applyFont="1" applyFill="1" applyBorder="1"/>
    <xf numFmtId="0" fontId="25" fillId="22" borderId="7" xfId="0" applyFont="1" applyFill="1" applyBorder="1" applyAlignment="1">
      <alignment horizontal="center" vertical="center"/>
    </xf>
    <xf numFmtId="0" fontId="25" fillId="22" borderId="7" xfId="0" applyFont="1" applyFill="1" applyBorder="1" applyAlignment="1">
      <alignment horizontal="left" vertical="center"/>
    </xf>
    <xf numFmtId="0" fontId="25" fillId="20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10" fillId="10" borderId="0" xfId="0" applyFont="1" applyFill="1" applyAlignment="1">
      <alignment horizontal="left" vertical="center"/>
    </xf>
    <xf numFmtId="0" fontId="17" fillId="9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3" borderId="2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1" fillId="2" borderId="0" xfId="0" applyFont="1" applyFill="1" applyAlignment="1">
      <alignment horizontal="left" vertical="center"/>
    </xf>
    <xf numFmtId="0" fontId="4" fillId="11" borderId="2" xfId="0" applyFont="1" applyFill="1" applyBorder="1" applyAlignment="1">
      <alignment horizontal="left" vertical="center"/>
    </xf>
    <xf numFmtId="0" fontId="26" fillId="22" borderId="0" xfId="0" applyFont="1" applyFill="1" applyAlignment="1">
      <alignment horizontal="center"/>
    </xf>
    <xf numFmtId="0" fontId="28" fillId="21" borderId="0" xfId="0" applyFont="1" applyFill="1" applyAlignment="1">
      <alignment horizontal="center"/>
    </xf>
    <xf numFmtId="0" fontId="28" fillId="20" borderId="0" xfId="0" applyFont="1" applyFill="1" applyAlignment="1">
      <alignment horizontal="center"/>
    </xf>
    <xf numFmtId="0" fontId="29" fillId="21" borderId="0" xfId="0" applyFont="1" applyFill="1" applyAlignment="1">
      <alignment horizontal="center" vertical="center"/>
    </xf>
    <xf numFmtId="171" fontId="27" fillId="21" borderId="7" xfId="0" applyNumberFormat="1" applyFont="1" applyFill="1" applyBorder="1" applyAlignment="1">
      <alignment horizontal="center" vertical="center" wrapText="1"/>
    </xf>
    <xf numFmtId="165" fontId="30" fillId="11" borderId="1" xfId="0" applyNumberFormat="1" applyFont="1" applyFill="1" applyBorder="1" applyAlignment="1">
      <alignment horizontal="center" vertical="center"/>
    </xf>
    <xf numFmtId="165" fontId="30" fillId="13" borderId="1" xfId="0" applyNumberFormat="1" applyFont="1" applyFill="1" applyBorder="1" applyAlignment="1">
      <alignment horizontal="center" vertical="center"/>
    </xf>
    <xf numFmtId="0" fontId="31" fillId="21" borderId="0" xfId="0" applyFont="1" applyFill="1" applyAlignment="1">
      <alignment horizontal="center" vertical="center"/>
    </xf>
    <xf numFmtId="0" fontId="32" fillId="21" borderId="7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left" vertical="center"/>
    </xf>
    <xf numFmtId="0" fontId="33" fillId="11" borderId="7" xfId="0" applyFont="1" applyFill="1" applyBorder="1" applyAlignment="1">
      <alignment horizontal="center" vertical="center"/>
    </xf>
    <xf numFmtId="0" fontId="34" fillId="22" borderId="7" xfId="0" applyFont="1" applyFill="1" applyBorder="1"/>
  </cellXfs>
  <cellStyles count="1">
    <cellStyle name="Normal" xfId="0" builtinId="0"/>
  </cellStyles>
  <dxfs count="3">
    <dxf>
      <fill>
        <patternFill patternType="solid">
          <fgColor rgb="FFC8F7C5"/>
        </patternFill>
      </fill>
    </dxf>
    <dxf>
      <fill>
        <patternFill patternType="solid">
          <fgColor rgb="FFFFE5B4"/>
        </patternFill>
      </fill>
    </dxf>
    <dxf>
      <fill>
        <patternFill patternType="solid">
          <f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Weekly Waste Cost by Station ($)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6.7027777777777783E-2"/>
          <c:y val="0.12347222222222222"/>
          <c:w val="0.75470499999999996"/>
          <c:h val="0.8488095238095235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'📊 By Station Dashboard'!$J$4</c:f>
              <c:strCache>
                <c:ptCount val="1"/>
                <c:pt idx="0">
                  <c:v>Waste Cost ($)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F52-47B1-847E-FC2FE3971F3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6F52-47B1-847E-FC2FE3971F33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F52-47B1-847E-FC2FE3971F33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6F52-47B1-847E-FC2FE3971F33}"/>
              </c:ext>
            </c:extLst>
          </c:dPt>
          <c:dLbls>
            <c:dLbl>
              <c:idx val="1"/>
              <c:layout>
                <c:manualLayout>
                  <c:x val="0"/>
                  <c:y val="-4.535714285714288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52-47B1-847E-FC2FE3971F33}"/>
                </c:ext>
              </c:extLst>
            </c:dLbl>
            <c:dLbl>
              <c:idx val="2"/>
              <c:layout>
                <c:manualLayout>
                  <c:x val="7.0555555555555554E-3"/>
                  <c:y val="-6.803571428571433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F52-47B1-847E-FC2FE3971F33}"/>
                </c:ext>
              </c:extLst>
            </c:dLbl>
            <c:dLbl>
              <c:idx val="3"/>
              <c:layout>
                <c:manualLayout>
                  <c:x val="-8.819444444444444E-3"/>
                  <c:y val="-1.0079365079365079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52-47B1-847E-FC2FE3971F3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By Station Dashboard'!$I$5:$I$8</c:f>
              <c:strCache>
                <c:ptCount val="4"/>
                <c:pt idx="0">
                  <c:v>PFC Product</c:v>
                </c:pt>
                <c:pt idx="1">
                  <c:v>Pronto Product</c:v>
                </c:pt>
                <c:pt idx="2">
                  <c:v>Little Wok</c:v>
                </c:pt>
                <c:pt idx="3">
                  <c:v>Agave</c:v>
                </c:pt>
              </c:strCache>
            </c:strRef>
          </c:cat>
          <c:val>
            <c:numRef>
              <c:f>'📊 By Station Dashboard'!$J$5:$J$8</c:f>
              <c:numCache>
                <c:formatCode>\$#,##0.00</c:formatCode>
                <c:ptCount val="4"/>
                <c:pt idx="0">
                  <c:v>302.52499999999998</c:v>
                </c:pt>
                <c:pt idx="1">
                  <c:v>671.56499999999983</c:v>
                </c:pt>
                <c:pt idx="2">
                  <c:v>542.85400000000004</c:v>
                </c:pt>
                <c:pt idx="3">
                  <c:v>303.76499999999999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F52-47B1-847E-FC2FE3971F3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Waste Cost ($)</a:t>
                </a:r>
              </a:p>
            </c:rich>
          </c:tx>
          <c:overlay val="1"/>
        </c:title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180975</xdr:rowOff>
    </xdr:from>
    <xdr:ext cx="720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4"/>
  <sheetViews>
    <sheetView tabSelected="1" workbookViewId="0">
      <pane ySplit="4" topLeftCell="A5" activePane="bottomLeft" state="frozen"/>
      <selection pane="bottomLeft" activeCell="G6" sqref="G6"/>
    </sheetView>
  </sheetViews>
  <sheetFormatPr defaultRowHeight="15" x14ac:dyDescent="0.25"/>
  <cols>
    <col min="1" max="1" width="21.140625" customWidth="1"/>
    <col min="2" max="2" width="26" customWidth="1"/>
    <col min="3" max="3" width="10.7109375" customWidth="1"/>
    <col min="4" max="5" width="14" customWidth="1"/>
    <col min="6" max="6" width="16" customWidth="1"/>
    <col min="7" max="7" width="13" customWidth="1"/>
    <col min="8" max="8" width="3" customWidth="1"/>
    <col min="9" max="9" width="16" customWidth="1"/>
    <col min="10" max="10" width="14" customWidth="1"/>
  </cols>
  <sheetData>
    <row r="1" spans="1:12" ht="36" customHeight="1" x14ac:dyDescent="0.25">
      <c r="A1" s="72" t="s">
        <v>130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18" customHeight="1" x14ac:dyDescent="0.25">
      <c r="A2" s="77" t="s">
        <v>131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</row>
    <row r="3" spans="1:12" ht="21.95" customHeight="1" x14ac:dyDescent="0.25">
      <c r="A3" s="79" t="s">
        <v>132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</row>
    <row r="4" spans="1:12" ht="40.5" customHeight="1" x14ac:dyDescent="0.25">
      <c r="A4" s="1" t="s">
        <v>2</v>
      </c>
      <c r="B4" s="1" t="s">
        <v>133</v>
      </c>
      <c r="C4" s="1" t="s">
        <v>7</v>
      </c>
      <c r="D4" s="1" t="s">
        <v>134</v>
      </c>
      <c r="E4" s="1" t="s">
        <v>135</v>
      </c>
      <c r="F4" s="1" t="s">
        <v>136</v>
      </c>
      <c r="I4" s="37" t="s">
        <v>2</v>
      </c>
      <c r="J4" s="37" t="s">
        <v>7</v>
      </c>
    </row>
    <row r="5" spans="1:12" ht="21.95" customHeight="1" x14ac:dyDescent="0.25">
      <c r="A5" s="46" t="s">
        <v>137</v>
      </c>
      <c r="B5" s="39">
        <f>SUM('📊 Waste Summary'!E4:E16)</f>
        <v>333</v>
      </c>
      <c r="C5" s="40">
        <f>SUM('📊 Waste Summary'!F4:F16)</f>
        <v>302.52499999999998</v>
      </c>
      <c r="D5" s="41">
        <f>IFERROR(C5/'📊 Waste Summary'!F76,"")</f>
        <v>0.16615779896732535</v>
      </c>
      <c r="E5" s="42" t="str">
        <f>IFERROR(INDEX('📊 Waste Summary'!B4:B16,MATCH(MAX('📊 Waste Summary'!E4:E16),'📊 Waste Summary'!E4:E16,0)),"—")</f>
        <v>Biscuits</v>
      </c>
      <c r="F5" s="43" t="str">
        <f>IFERROR(INDEX('📊 Waste Summary'!B4:B16,MATCH(MAX('📊 Waste Summary'!F4:F16),'📊 Waste Summary'!F4:F16,0)),"—")</f>
        <v>Breasts</v>
      </c>
      <c r="I5" t="s">
        <v>10</v>
      </c>
      <c r="J5" s="38">
        <f>C5</f>
        <v>302.52499999999998</v>
      </c>
    </row>
    <row r="6" spans="1:12" ht="21.95" customHeight="1" x14ac:dyDescent="0.25">
      <c r="A6" s="47" t="s">
        <v>138</v>
      </c>
      <c r="B6" s="39">
        <f>SUM('📊 Waste Summary'!E17:E26)</f>
        <v>93.5</v>
      </c>
      <c r="C6" s="40">
        <f>SUM('📊 Waste Summary'!F17:F26)</f>
        <v>671.56499999999983</v>
      </c>
      <c r="D6" s="41">
        <f>IFERROR(C6/'📊 Waste Summary'!F76,"")</f>
        <v>0.36884806962562378</v>
      </c>
      <c r="E6" s="42" t="str">
        <f>IFERROR(INDEX('📊 Waste Summary'!B17:B26,MATCH(MAX('📊 Waste Summary'!E17:E26),'📊 Waste Summary'!E17:E26,0)),"—")</f>
        <v>Meatballs</v>
      </c>
      <c r="F6" s="43" t="str">
        <f>IFERROR(INDEX('📊 Waste Summary'!B17:B26,MATCH(MAX('📊 Waste Summary'!F17:F26),'📊 Waste Summary'!F17:F26,0)),"—")</f>
        <v>Specialty Pizza</v>
      </c>
      <c r="I6" t="s">
        <v>33</v>
      </c>
      <c r="J6" s="38">
        <f>C6</f>
        <v>671.56499999999983</v>
      </c>
    </row>
    <row r="7" spans="1:12" ht="21.95" customHeight="1" x14ac:dyDescent="0.25">
      <c r="A7" s="48" t="s">
        <v>139</v>
      </c>
      <c r="B7" s="39">
        <f>SUM('📊 Waste Summary'!E27:E52)</f>
        <v>271</v>
      </c>
      <c r="C7" s="40">
        <f>SUM('📊 Waste Summary'!F27:F52)</f>
        <v>542.85400000000004</v>
      </c>
      <c r="D7" s="41">
        <f>IFERROR(C7/'📊 Waste Summary'!F76,"")</f>
        <v>0.29815527906985689</v>
      </c>
      <c r="E7" s="42" t="str">
        <f>IFERROR(INDEX('📊 Waste Summary'!B27:B52,MATCH(MAX('📊 Waste Summary'!E27:E52),'📊 Waste Summary'!E27:E52,0)),"—")</f>
        <v>Chicken Eggroll</v>
      </c>
      <c r="F7" s="43" t="str">
        <f>IFERROR(INDEX('📊 Waste Summary'!B27:B52,MATCH(MAX('📊 Waste Summary'!F27:F52),'📊 Waste Summary'!F27:F52,0)),"—")</f>
        <v>Orange Chicken</v>
      </c>
      <c r="I7" t="s">
        <v>50</v>
      </c>
      <c r="J7" s="38">
        <f>C7</f>
        <v>542.85400000000004</v>
      </c>
    </row>
    <row r="8" spans="1:12" ht="21.95" customHeight="1" x14ac:dyDescent="0.25">
      <c r="A8" s="49" t="s">
        <v>140</v>
      </c>
      <c r="B8" s="39">
        <f>SUM('📊 Waste Summary'!E53:E75)</f>
        <v>89</v>
      </c>
      <c r="C8" s="40">
        <f>SUM('📊 Waste Summary'!F53:F75)</f>
        <v>303.76499999999999</v>
      </c>
      <c r="D8" s="41">
        <f>IFERROR(C8/'📊 Waste Summary'!F76,"")</f>
        <v>0.16683885233719389</v>
      </c>
      <c r="E8" s="42" t="str">
        <f>IFERROR(INDEX('📊 Waste Summary'!B53:B75,MATCH(MAX('📊 Waste Summary'!E53:E75),'📊 Waste Summary'!E53:E75,0)),"—")</f>
        <v>Carne Asada</v>
      </c>
      <c r="F8" s="43" t="str">
        <f>IFERROR(INDEX('📊 Waste Summary'!B53:B75,MATCH(MAX('📊 Waste Summary'!F53:F75),'📊 Waste Summary'!F53:F75,0)),"—")</f>
        <v>Carne Asada</v>
      </c>
      <c r="I8" t="s">
        <v>91</v>
      </c>
      <c r="J8" s="38">
        <f>C8</f>
        <v>303.76499999999999</v>
      </c>
    </row>
    <row r="9" spans="1:12" ht="24" customHeight="1" x14ac:dyDescent="0.25">
      <c r="A9" s="74" t="s">
        <v>141</v>
      </c>
      <c r="B9" s="50">
        <f>SUM(B5:B8)</f>
        <v>786.5</v>
      </c>
      <c r="C9" s="44">
        <f>'📊 Waste Summary'!F76</f>
        <v>1820.7090000000001</v>
      </c>
      <c r="D9" s="51"/>
      <c r="E9" s="51"/>
      <c r="F9" s="51"/>
    </row>
    <row r="11" spans="1:12" ht="21.95" customHeight="1" x14ac:dyDescent="0.25">
      <c r="A11" s="79" t="s">
        <v>142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</row>
    <row r="12" spans="1:12" ht="30" customHeight="1" x14ac:dyDescent="0.25">
      <c r="A12" s="1" t="s">
        <v>2</v>
      </c>
      <c r="B12" s="1" t="s">
        <v>3</v>
      </c>
      <c r="C12" s="1" t="s">
        <v>4</v>
      </c>
      <c r="D12" s="2" t="s">
        <v>143</v>
      </c>
      <c r="E12" s="1" t="s">
        <v>6</v>
      </c>
      <c r="F12" s="3" t="s">
        <v>7</v>
      </c>
      <c r="G12" s="1" t="s">
        <v>8</v>
      </c>
    </row>
    <row r="13" spans="1:12" ht="17.100000000000001" customHeight="1" x14ac:dyDescent="0.25">
      <c r="A13" s="52" t="s">
        <v>137</v>
      </c>
      <c r="B13" s="5" t="s">
        <v>11</v>
      </c>
      <c r="C13" s="6" t="s">
        <v>12</v>
      </c>
      <c r="D13" s="12">
        <f>'📊 Waste Summary'!D4</f>
        <v>0.51700000000000002</v>
      </c>
      <c r="E13" s="53">
        <f>'📊 Waste Summary'!E4</f>
        <v>43</v>
      </c>
      <c r="F13" s="54">
        <f>'📊 Waste Summary'!F4</f>
        <v>22.231000000000002</v>
      </c>
      <c r="G13" s="7" t="str">
        <f t="shared" ref="G13:G44" si="0">IF(E13&gt;0,IF(E13&gt;=10,"🔴 High",IF(E13&gt;=5,"🟠 Moderate","🟢 Low")),"—")</f>
        <v>🔴 High</v>
      </c>
    </row>
    <row r="14" spans="1:12" ht="17.100000000000001" customHeight="1" x14ac:dyDescent="0.25">
      <c r="A14" s="52" t="s">
        <v>137</v>
      </c>
      <c r="B14" s="55" t="s">
        <v>14</v>
      </c>
      <c r="C14" s="56" t="s">
        <v>12</v>
      </c>
      <c r="D14" s="12">
        <f>'📊 Waste Summary'!D5</f>
        <v>0.78700000000000003</v>
      </c>
      <c r="E14" s="53">
        <f>'📊 Waste Summary'!E5</f>
        <v>33</v>
      </c>
      <c r="F14" s="54">
        <f>'📊 Waste Summary'!F5</f>
        <v>25.971</v>
      </c>
      <c r="G14" s="57" t="str">
        <f t="shared" si="0"/>
        <v>🔴 High</v>
      </c>
    </row>
    <row r="15" spans="1:12" ht="17.100000000000001" customHeight="1" x14ac:dyDescent="0.25">
      <c r="A15" s="52" t="s">
        <v>137</v>
      </c>
      <c r="B15" s="5" t="s">
        <v>15</v>
      </c>
      <c r="C15" s="6" t="s">
        <v>12</v>
      </c>
      <c r="D15" s="12">
        <f>'📊 Waste Summary'!D6</f>
        <v>0.32700000000000001</v>
      </c>
      <c r="E15" s="53">
        <f>'📊 Waste Summary'!E6</f>
        <v>44</v>
      </c>
      <c r="F15" s="54">
        <f>'📊 Waste Summary'!F6</f>
        <v>14.388</v>
      </c>
      <c r="G15" s="7" t="str">
        <f t="shared" si="0"/>
        <v>🔴 High</v>
      </c>
    </row>
    <row r="16" spans="1:12" ht="17.100000000000001" customHeight="1" x14ac:dyDescent="0.25">
      <c r="A16" s="52" t="s">
        <v>137</v>
      </c>
      <c r="B16" s="55" t="s">
        <v>16</v>
      </c>
      <c r="C16" s="56" t="s">
        <v>12</v>
      </c>
      <c r="D16" s="12">
        <f>'📊 Waste Summary'!D7</f>
        <v>3.7069999999999999</v>
      </c>
      <c r="E16" s="53">
        <f>'📊 Waste Summary'!E7</f>
        <v>37</v>
      </c>
      <c r="F16" s="54">
        <f>'📊 Waste Summary'!F7</f>
        <v>137.15899999999999</v>
      </c>
      <c r="G16" s="57" t="str">
        <f t="shared" si="0"/>
        <v>🔴 High</v>
      </c>
    </row>
    <row r="17" spans="1:7" ht="17.100000000000001" customHeight="1" x14ac:dyDescent="0.25">
      <c r="A17" s="52" t="s">
        <v>137</v>
      </c>
      <c r="B17" s="5" t="s">
        <v>17</v>
      </c>
      <c r="C17" s="6" t="s">
        <v>12</v>
      </c>
      <c r="D17" s="12">
        <f>'📊 Waste Summary'!D8</f>
        <v>0.3</v>
      </c>
      <c r="E17" s="53">
        <f>'📊 Waste Summary'!E8</f>
        <v>134</v>
      </c>
      <c r="F17" s="54">
        <f>'📊 Waste Summary'!F8</f>
        <v>40.199999999999996</v>
      </c>
      <c r="G17" s="7" t="str">
        <f t="shared" si="0"/>
        <v>🔴 High</v>
      </c>
    </row>
    <row r="18" spans="1:7" ht="17.100000000000001" customHeight="1" x14ac:dyDescent="0.25">
      <c r="A18" s="52" t="s">
        <v>137</v>
      </c>
      <c r="B18" s="55" t="s">
        <v>19</v>
      </c>
      <c r="C18" s="56" t="s">
        <v>12</v>
      </c>
      <c r="D18" s="12">
        <f>'📊 Waste Summary'!D9</f>
        <v>2.1269999999999998</v>
      </c>
      <c r="E18" s="53">
        <f>'📊 Waste Summary'!E9</f>
        <v>8</v>
      </c>
      <c r="F18" s="54">
        <f>'📊 Waste Summary'!F9</f>
        <v>17.015999999999998</v>
      </c>
      <c r="G18" s="57" t="str">
        <f t="shared" si="0"/>
        <v>🟠 Moderate</v>
      </c>
    </row>
    <row r="19" spans="1:7" ht="17.100000000000001" customHeight="1" x14ac:dyDescent="0.25">
      <c r="A19" s="52" t="s">
        <v>137</v>
      </c>
      <c r="B19" s="5" t="s">
        <v>21</v>
      </c>
      <c r="C19" s="6" t="s">
        <v>22</v>
      </c>
      <c r="D19" s="12">
        <f>'📊 Waste Summary'!D10</f>
        <v>1.34</v>
      </c>
      <c r="E19" s="53">
        <f>'📊 Waste Summary'!E10</f>
        <v>0</v>
      </c>
      <c r="F19" s="54">
        <f>'📊 Waste Summary'!F10</f>
        <v>0</v>
      </c>
      <c r="G19" s="7" t="str">
        <f t="shared" si="0"/>
        <v>—</v>
      </c>
    </row>
    <row r="20" spans="1:7" ht="17.100000000000001" customHeight="1" x14ac:dyDescent="0.25">
      <c r="A20" s="52" t="s">
        <v>137</v>
      </c>
      <c r="B20" s="55" t="s">
        <v>23</v>
      </c>
      <c r="C20" s="56" t="s">
        <v>22</v>
      </c>
      <c r="D20" s="12">
        <f>'📊 Waste Summary'!D11</f>
        <v>1.34</v>
      </c>
      <c r="E20" s="53">
        <f>'📊 Waste Summary'!E11</f>
        <v>0</v>
      </c>
      <c r="F20" s="54">
        <f>'📊 Waste Summary'!F11</f>
        <v>0</v>
      </c>
      <c r="G20" s="57" t="str">
        <f t="shared" si="0"/>
        <v>—</v>
      </c>
    </row>
    <row r="21" spans="1:7" ht="17.100000000000001" customHeight="1" x14ac:dyDescent="0.25">
      <c r="A21" s="52" t="s">
        <v>137</v>
      </c>
      <c r="B21" s="5" t="s">
        <v>25</v>
      </c>
      <c r="C21" s="6" t="s">
        <v>22</v>
      </c>
      <c r="D21" s="12">
        <f>'📊 Waste Summary'!D12</f>
        <v>1.34</v>
      </c>
      <c r="E21" s="53">
        <f>'📊 Waste Summary'!E12</f>
        <v>13</v>
      </c>
      <c r="F21" s="54">
        <f>'📊 Waste Summary'!F12</f>
        <v>17.420000000000002</v>
      </c>
      <c r="G21" s="7" t="str">
        <f t="shared" si="0"/>
        <v>🔴 High</v>
      </c>
    </row>
    <row r="22" spans="1:7" ht="17.100000000000001" customHeight="1" x14ac:dyDescent="0.25">
      <c r="A22" s="52" t="s">
        <v>137</v>
      </c>
      <c r="B22" s="55" t="s">
        <v>27</v>
      </c>
      <c r="C22" s="56" t="s">
        <v>22</v>
      </c>
      <c r="D22" s="12">
        <f>'📊 Waste Summary'!D13</f>
        <v>1.34</v>
      </c>
      <c r="E22" s="53">
        <f>'📊 Waste Summary'!E13</f>
        <v>5</v>
      </c>
      <c r="F22" s="54">
        <f>'📊 Waste Summary'!F13</f>
        <v>6.7</v>
      </c>
      <c r="G22" s="57" t="str">
        <f t="shared" si="0"/>
        <v>🟠 Moderate</v>
      </c>
    </row>
    <row r="23" spans="1:7" ht="17.100000000000001" customHeight="1" x14ac:dyDescent="0.25">
      <c r="A23" s="52" t="s">
        <v>137</v>
      </c>
      <c r="B23" s="5" t="s">
        <v>29</v>
      </c>
      <c r="C23" s="6" t="s">
        <v>22</v>
      </c>
      <c r="D23" s="12">
        <f>'📊 Waste Summary'!D14</f>
        <v>0.6</v>
      </c>
      <c r="E23" s="53">
        <f>'📊 Waste Summary'!E14</f>
        <v>0</v>
      </c>
      <c r="F23" s="54">
        <f>'📊 Waste Summary'!F14</f>
        <v>0</v>
      </c>
      <c r="G23" s="7" t="str">
        <f t="shared" si="0"/>
        <v>—</v>
      </c>
    </row>
    <row r="24" spans="1:7" ht="17.100000000000001" customHeight="1" x14ac:dyDescent="0.25">
      <c r="A24" s="52" t="s">
        <v>137</v>
      </c>
      <c r="B24" s="55" t="s">
        <v>30</v>
      </c>
      <c r="C24" s="56" t="s">
        <v>22</v>
      </c>
      <c r="D24" s="12">
        <f>'📊 Waste Summary'!D15</f>
        <v>1.34</v>
      </c>
      <c r="E24" s="53">
        <f>'📊 Waste Summary'!E15</f>
        <v>13</v>
      </c>
      <c r="F24" s="54">
        <f>'📊 Waste Summary'!F15</f>
        <v>17.420000000000002</v>
      </c>
      <c r="G24" s="57" t="str">
        <f t="shared" si="0"/>
        <v>🔴 High</v>
      </c>
    </row>
    <row r="25" spans="1:7" ht="17.100000000000001" customHeight="1" x14ac:dyDescent="0.25">
      <c r="A25" s="52" t="s">
        <v>137</v>
      </c>
      <c r="B25" s="5" t="s">
        <v>32</v>
      </c>
      <c r="C25" s="6" t="s">
        <v>22</v>
      </c>
      <c r="D25" s="12">
        <f>'📊 Waste Summary'!D16</f>
        <v>1.34</v>
      </c>
      <c r="E25" s="53">
        <f>'📊 Waste Summary'!E16</f>
        <v>3</v>
      </c>
      <c r="F25" s="54">
        <f>'📊 Waste Summary'!F16</f>
        <v>4.0200000000000005</v>
      </c>
      <c r="G25" s="7" t="str">
        <f t="shared" si="0"/>
        <v>🟢 Low</v>
      </c>
    </row>
    <row r="26" spans="1:7" ht="17.100000000000001" customHeight="1" x14ac:dyDescent="0.25">
      <c r="A26" s="58" t="s">
        <v>138</v>
      </c>
      <c r="B26" s="55" t="s">
        <v>34</v>
      </c>
      <c r="C26" s="56" t="s">
        <v>35</v>
      </c>
      <c r="D26" s="12">
        <f>'📊 Waste Summary'!D17</f>
        <v>10.75</v>
      </c>
      <c r="E26" s="53">
        <f>'📊 Waste Summary'!E17</f>
        <v>11</v>
      </c>
      <c r="F26" s="54">
        <f>'📊 Waste Summary'!F17</f>
        <v>118.25</v>
      </c>
      <c r="G26" s="57" t="str">
        <f t="shared" si="0"/>
        <v>🔴 High</v>
      </c>
    </row>
    <row r="27" spans="1:7" ht="17.100000000000001" customHeight="1" x14ac:dyDescent="0.25">
      <c r="A27" s="58" t="s">
        <v>138</v>
      </c>
      <c r="B27" s="5" t="s">
        <v>37</v>
      </c>
      <c r="C27" s="6" t="s">
        <v>35</v>
      </c>
      <c r="D27" s="12">
        <f>'📊 Waste Summary'!D18</f>
        <v>13.45</v>
      </c>
      <c r="E27" s="53">
        <f>'📊 Waste Summary'!E18</f>
        <v>6</v>
      </c>
      <c r="F27" s="54">
        <f>'📊 Waste Summary'!F18</f>
        <v>80.699999999999989</v>
      </c>
      <c r="G27" s="7" t="str">
        <f t="shared" si="0"/>
        <v>🟠 Moderate</v>
      </c>
    </row>
    <row r="28" spans="1:7" ht="17.100000000000001" customHeight="1" x14ac:dyDescent="0.25">
      <c r="A28" s="58" t="s">
        <v>138</v>
      </c>
      <c r="B28" s="55" t="s">
        <v>38</v>
      </c>
      <c r="C28" s="56" t="s">
        <v>35</v>
      </c>
      <c r="D28" s="12">
        <f>'📊 Waste Summary'!D19</f>
        <v>11.54</v>
      </c>
      <c r="E28" s="53">
        <f>'📊 Waste Summary'!E19</f>
        <v>10</v>
      </c>
      <c r="F28" s="54">
        <f>'📊 Waste Summary'!F19</f>
        <v>115.39999999999999</v>
      </c>
      <c r="G28" s="57" t="str">
        <f t="shared" si="0"/>
        <v>🔴 High</v>
      </c>
    </row>
    <row r="29" spans="1:7" ht="17.100000000000001" customHeight="1" x14ac:dyDescent="0.25">
      <c r="A29" s="58" t="s">
        <v>138</v>
      </c>
      <c r="B29" s="5" t="s">
        <v>39</v>
      </c>
      <c r="C29" s="6" t="s">
        <v>35</v>
      </c>
      <c r="D29" s="12">
        <f>'📊 Waste Summary'!D20</f>
        <v>15.85</v>
      </c>
      <c r="E29" s="53">
        <f>'📊 Waste Summary'!E20</f>
        <v>14</v>
      </c>
      <c r="F29" s="54">
        <f>'📊 Waste Summary'!F20</f>
        <v>221.9</v>
      </c>
      <c r="G29" s="7" t="str">
        <f t="shared" si="0"/>
        <v>🔴 High</v>
      </c>
    </row>
    <row r="30" spans="1:7" ht="17.100000000000001" customHeight="1" x14ac:dyDescent="0.25">
      <c r="A30" s="58" t="s">
        <v>138</v>
      </c>
      <c r="B30" s="55" t="s">
        <v>41</v>
      </c>
      <c r="C30" s="56" t="s">
        <v>35</v>
      </c>
      <c r="D30" s="12">
        <f>'📊 Waste Summary'!D21</f>
        <v>9.14</v>
      </c>
      <c r="E30" s="53">
        <f>'📊 Waste Summary'!E21</f>
        <v>3</v>
      </c>
      <c r="F30" s="54">
        <f>'📊 Waste Summary'!F21</f>
        <v>27.42</v>
      </c>
      <c r="G30" s="57" t="str">
        <f t="shared" si="0"/>
        <v>🟢 Low</v>
      </c>
    </row>
    <row r="31" spans="1:7" ht="17.100000000000001" customHeight="1" x14ac:dyDescent="0.25">
      <c r="A31" s="58" t="s">
        <v>138</v>
      </c>
      <c r="B31" s="5" t="s">
        <v>42</v>
      </c>
      <c r="C31" s="6" t="s">
        <v>12</v>
      </c>
      <c r="D31" s="12">
        <f>'📊 Waste Summary'!D22</f>
        <v>0.54</v>
      </c>
      <c r="E31" s="53">
        <f>'📊 Waste Summary'!E22</f>
        <v>14</v>
      </c>
      <c r="F31" s="54">
        <f>'📊 Waste Summary'!F22</f>
        <v>7.5600000000000005</v>
      </c>
      <c r="G31" s="7" t="str">
        <f t="shared" si="0"/>
        <v>🔴 High</v>
      </c>
    </row>
    <row r="32" spans="1:7" ht="17.100000000000001" customHeight="1" x14ac:dyDescent="0.25">
      <c r="A32" s="58" t="s">
        <v>138</v>
      </c>
      <c r="B32" s="55" t="s">
        <v>44</v>
      </c>
      <c r="C32" s="56" t="s">
        <v>45</v>
      </c>
      <c r="D32" s="12">
        <f>'📊 Waste Summary'!D23</f>
        <v>2.87</v>
      </c>
      <c r="E32" s="53">
        <f>'📊 Waste Summary'!E23</f>
        <v>4.5</v>
      </c>
      <c r="F32" s="54">
        <f>'📊 Waste Summary'!F23</f>
        <v>12.915000000000001</v>
      </c>
      <c r="G32" s="57" t="str">
        <f t="shared" si="0"/>
        <v>🟢 Low</v>
      </c>
    </row>
    <row r="33" spans="1:7" ht="17.100000000000001" customHeight="1" x14ac:dyDescent="0.25">
      <c r="A33" s="58" t="s">
        <v>138</v>
      </c>
      <c r="B33" s="5" t="s">
        <v>47</v>
      </c>
      <c r="C33" s="6" t="s">
        <v>12</v>
      </c>
      <c r="D33" s="12">
        <f>'📊 Waste Summary'!D24</f>
        <v>2.44</v>
      </c>
      <c r="E33" s="53">
        <f>'📊 Waste Summary'!E24</f>
        <v>0</v>
      </c>
      <c r="F33" s="54">
        <f>'📊 Waste Summary'!F24</f>
        <v>0</v>
      </c>
      <c r="G33" s="7" t="str">
        <f t="shared" si="0"/>
        <v>—</v>
      </c>
    </row>
    <row r="34" spans="1:7" ht="17.100000000000001" customHeight="1" x14ac:dyDescent="0.25">
      <c r="A34" s="58" t="s">
        <v>138</v>
      </c>
      <c r="B34" s="55" t="s">
        <v>48</v>
      </c>
      <c r="C34" s="56" t="s">
        <v>22</v>
      </c>
      <c r="D34" s="12">
        <f>'📊 Waste Summary'!D25</f>
        <v>2.92</v>
      </c>
      <c r="E34" s="53">
        <f>'📊 Waste Summary'!E25</f>
        <v>0</v>
      </c>
      <c r="F34" s="54">
        <f>'📊 Waste Summary'!F25</f>
        <v>0</v>
      </c>
      <c r="G34" s="57" t="str">
        <f t="shared" si="0"/>
        <v>—</v>
      </c>
    </row>
    <row r="35" spans="1:7" ht="17.100000000000001" customHeight="1" x14ac:dyDescent="0.25">
      <c r="A35" s="58" t="s">
        <v>138</v>
      </c>
      <c r="B35" s="5" t="s">
        <v>49</v>
      </c>
      <c r="C35" s="6" t="s">
        <v>12</v>
      </c>
      <c r="D35" s="12">
        <f>'📊 Waste Summary'!D26</f>
        <v>2.82</v>
      </c>
      <c r="E35" s="53">
        <f>'📊 Waste Summary'!E26</f>
        <v>31</v>
      </c>
      <c r="F35" s="54">
        <f>'📊 Waste Summary'!F26</f>
        <v>87.42</v>
      </c>
      <c r="G35" s="7" t="str">
        <f t="shared" si="0"/>
        <v>🔴 High</v>
      </c>
    </row>
    <row r="36" spans="1:7" ht="17.100000000000001" customHeight="1" x14ac:dyDescent="0.25">
      <c r="A36" s="59" t="s">
        <v>139</v>
      </c>
      <c r="B36" s="55" t="s">
        <v>51</v>
      </c>
      <c r="C36" s="56" t="s">
        <v>52</v>
      </c>
      <c r="D36" s="12">
        <f>'📊 Waste Summary'!D27</f>
        <v>1.8</v>
      </c>
      <c r="E36" s="53">
        <f>'📊 Waste Summary'!E27</f>
        <v>13.5</v>
      </c>
      <c r="F36" s="54">
        <f>'📊 Waste Summary'!F27</f>
        <v>24.3</v>
      </c>
      <c r="G36" s="57" t="str">
        <f t="shared" si="0"/>
        <v>🔴 High</v>
      </c>
    </row>
    <row r="37" spans="1:7" ht="17.100000000000001" customHeight="1" x14ac:dyDescent="0.25">
      <c r="A37" s="59" t="s">
        <v>139</v>
      </c>
      <c r="B37" s="5" t="s">
        <v>54</v>
      </c>
      <c r="C37" s="6" t="s">
        <v>52</v>
      </c>
      <c r="D37" s="12">
        <f>'📊 Waste Summary'!D28</f>
        <v>4.3550000000000004</v>
      </c>
      <c r="E37" s="53">
        <f>'📊 Waste Summary'!E28</f>
        <v>12.5</v>
      </c>
      <c r="F37" s="54">
        <f>'📊 Waste Summary'!F28</f>
        <v>54.437500000000007</v>
      </c>
      <c r="G37" s="7" t="str">
        <f t="shared" si="0"/>
        <v>🔴 High</v>
      </c>
    </row>
    <row r="38" spans="1:7" ht="17.100000000000001" customHeight="1" x14ac:dyDescent="0.25">
      <c r="A38" s="59" t="s">
        <v>139</v>
      </c>
      <c r="B38" s="55" t="s">
        <v>56</v>
      </c>
      <c r="C38" s="56" t="s">
        <v>52</v>
      </c>
      <c r="D38" s="12">
        <f>'📊 Waste Summary'!D29</f>
        <v>3.9</v>
      </c>
      <c r="E38" s="53">
        <f>'📊 Waste Summary'!E29</f>
        <v>12.5</v>
      </c>
      <c r="F38" s="54">
        <f>'📊 Waste Summary'!F29</f>
        <v>48.75</v>
      </c>
      <c r="G38" s="57" t="str">
        <f t="shared" si="0"/>
        <v>🔴 High</v>
      </c>
    </row>
    <row r="39" spans="1:7" ht="17.100000000000001" customHeight="1" x14ac:dyDescent="0.25">
      <c r="A39" s="59" t="s">
        <v>139</v>
      </c>
      <c r="B39" s="5" t="s">
        <v>57</v>
      </c>
      <c r="C39" s="6" t="s">
        <v>52</v>
      </c>
      <c r="D39" s="12">
        <f>'📊 Waste Summary'!D30</f>
        <v>6.2450000000000001</v>
      </c>
      <c r="E39" s="53">
        <f>'📊 Waste Summary'!E30</f>
        <v>5.5</v>
      </c>
      <c r="F39" s="54">
        <f>'📊 Waste Summary'!F30</f>
        <v>34.347500000000004</v>
      </c>
      <c r="G39" s="7" t="str">
        <f t="shared" si="0"/>
        <v>🟠 Moderate</v>
      </c>
    </row>
    <row r="40" spans="1:7" ht="17.100000000000001" customHeight="1" x14ac:dyDescent="0.25">
      <c r="A40" s="59" t="s">
        <v>139</v>
      </c>
      <c r="B40" s="55" t="s">
        <v>58</v>
      </c>
      <c r="C40" s="56" t="s">
        <v>52</v>
      </c>
      <c r="D40" s="12">
        <f>'📊 Waste Summary'!D31</f>
        <v>4</v>
      </c>
      <c r="E40" s="53">
        <f>'📊 Waste Summary'!E31</f>
        <v>24</v>
      </c>
      <c r="F40" s="54">
        <f>'📊 Waste Summary'!F31</f>
        <v>96</v>
      </c>
      <c r="G40" s="57" t="str">
        <f t="shared" si="0"/>
        <v>🔴 High</v>
      </c>
    </row>
    <row r="41" spans="1:7" ht="17.100000000000001" customHeight="1" x14ac:dyDescent="0.25">
      <c r="A41" s="59" t="s">
        <v>139</v>
      </c>
      <c r="B41" s="5" t="s">
        <v>60</v>
      </c>
      <c r="C41" s="6" t="s">
        <v>52</v>
      </c>
      <c r="D41" s="12">
        <f>'📊 Waste Summary'!D32</f>
        <v>1.45</v>
      </c>
      <c r="E41" s="53">
        <f>'📊 Waste Summary'!E32</f>
        <v>8.5</v>
      </c>
      <c r="F41" s="54">
        <f>'📊 Waste Summary'!F32</f>
        <v>12.324999999999999</v>
      </c>
      <c r="G41" s="7" t="str">
        <f t="shared" si="0"/>
        <v>🟠 Moderate</v>
      </c>
    </row>
    <row r="42" spans="1:7" ht="17.100000000000001" customHeight="1" x14ac:dyDescent="0.25">
      <c r="A42" s="59" t="s">
        <v>139</v>
      </c>
      <c r="B42" s="55" t="s">
        <v>62</v>
      </c>
      <c r="C42" s="56" t="s">
        <v>52</v>
      </c>
      <c r="D42" s="12">
        <f>'📊 Waste Summary'!D33</f>
        <v>0.85</v>
      </c>
      <c r="E42" s="53">
        <f>'📊 Waste Summary'!E33</f>
        <v>6.5</v>
      </c>
      <c r="F42" s="54">
        <f>'📊 Waste Summary'!F33</f>
        <v>5.5249999999999995</v>
      </c>
      <c r="G42" s="57" t="str">
        <f t="shared" si="0"/>
        <v>🟠 Moderate</v>
      </c>
    </row>
    <row r="43" spans="1:7" ht="17.100000000000001" customHeight="1" x14ac:dyDescent="0.25">
      <c r="A43" s="59" t="s">
        <v>139</v>
      </c>
      <c r="B43" s="5" t="s">
        <v>63</v>
      </c>
      <c r="C43" s="6" t="s">
        <v>52</v>
      </c>
      <c r="D43" s="12">
        <f>'📊 Waste Summary'!D34</f>
        <v>1.03</v>
      </c>
      <c r="E43" s="53">
        <f>'📊 Waste Summary'!E34</f>
        <v>7</v>
      </c>
      <c r="F43" s="54">
        <f>'📊 Waste Summary'!F34</f>
        <v>7.21</v>
      </c>
      <c r="G43" s="7" t="str">
        <f t="shared" si="0"/>
        <v>🟠 Moderate</v>
      </c>
    </row>
    <row r="44" spans="1:7" ht="17.100000000000001" customHeight="1" x14ac:dyDescent="0.25">
      <c r="A44" s="59" t="s">
        <v>139</v>
      </c>
      <c r="B44" s="55" t="s">
        <v>64</v>
      </c>
      <c r="C44" s="56" t="s">
        <v>52</v>
      </c>
      <c r="D44" s="12">
        <f>'📊 Waste Summary'!D35</f>
        <v>1.75</v>
      </c>
      <c r="E44" s="53">
        <f>'📊 Waste Summary'!E35</f>
        <v>10.5</v>
      </c>
      <c r="F44" s="54">
        <f>'📊 Waste Summary'!F35</f>
        <v>18.375</v>
      </c>
      <c r="G44" s="57" t="str">
        <f t="shared" si="0"/>
        <v>🔴 High</v>
      </c>
    </row>
    <row r="45" spans="1:7" ht="17.100000000000001" customHeight="1" x14ac:dyDescent="0.25">
      <c r="A45" s="59" t="s">
        <v>139</v>
      </c>
      <c r="B45" s="5" t="s">
        <v>65</v>
      </c>
      <c r="C45" s="6" t="s">
        <v>52</v>
      </c>
      <c r="D45" s="12">
        <f>'📊 Waste Summary'!D36</f>
        <v>1.49</v>
      </c>
      <c r="E45" s="53">
        <f>'📊 Waste Summary'!E36</f>
        <v>4.5</v>
      </c>
      <c r="F45" s="54">
        <f>'📊 Waste Summary'!F36</f>
        <v>6.7050000000000001</v>
      </c>
      <c r="G45" s="7" t="str">
        <f t="shared" ref="G45:G76" si="1">IF(E45&gt;0,IF(E45&gt;=10,"🔴 High",IF(E45&gt;=5,"🟠 Moderate","🟢 Low")),"—")</f>
        <v>🟢 Low</v>
      </c>
    </row>
    <row r="46" spans="1:7" ht="17.100000000000001" customHeight="1" x14ac:dyDescent="0.25">
      <c r="A46" s="59" t="s">
        <v>139</v>
      </c>
      <c r="B46" s="55" t="s">
        <v>66</v>
      </c>
      <c r="C46" s="56" t="s">
        <v>52</v>
      </c>
      <c r="D46" s="12">
        <f>'📊 Waste Summary'!D37</f>
        <v>2.2999999999999998</v>
      </c>
      <c r="E46" s="53">
        <f>'📊 Waste Summary'!E37</f>
        <v>8.5</v>
      </c>
      <c r="F46" s="54">
        <f>'📊 Waste Summary'!F37</f>
        <v>19.549999999999997</v>
      </c>
      <c r="G46" s="57" t="str">
        <f t="shared" si="1"/>
        <v>🟠 Moderate</v>
      </c>
    </row>
    <row r="47" spans="1:7" ht="17.100000000000001" customHeight="1" x14ac:dyDescent="0.25">
      <c r="A47" s="59" t="s">
        <v>139</v>
      </c>
      <c r="B47" s="5" t="s">
        <v>68</v>
      </c>
      <c r="C47" s="6" t="s">
        <v>52</v>
      </c>
      <c r="D47" s="12">
        <f>'📊 Waste Summary'!D38</f>
        <v>0.96</v>
      </c>
      <c r="E47" s="53">
        <f>'📊 Waste Summary'!E38</f>
        <v>7.5</v>
      </c>
      <c r="F47" s="54">
        <f>'📊 Waste Summary'!F38</f>
        <v>7.1999999999999993</v>
      </c>
      <c r="G47" s="7" t="str">
        <f t="shared" si="1"/>
        <v>🟠 Moderate</v>
      </c>
    </row>
    <row r="48" spans="1:7" ht="17.100000000000001" customHeight="1" x14ac:dyDescent="0.25">
      <c r="A48" s="59" t="s">
        <v>139</v>
      </c>
      <c r="B48" s="55" t="s">
        <v>69</v>
      </c>
      <c r="C48" s="56" t="s">
        <v>52</v>
      </c>
      <c r="D48" s="12">
        <f>'📊 Waste Summary'!D39</f>
        <v>1.75</v>
      </c>
      <c r="E48" s="53">
        <f>'📊 Waste Summary'!E39</f>
        <v>6</v>
      </c>
      <c r="F48" s="54">
        <f>'📊 Waste Summary'!F39</f>
        <v>10.5</v>
      </c>
      <c r="G48" s="57" t="str">
        <f t="shared" si="1"/>
        <v>🟠 Moderate</v>
      </c>
    </row>
    <row r="49" spans="1:7" ht="17.100000000000001" customHeight="1" x14ac:dyDescent="0.25">
      <c r="A49" s="59" t="s">
        <v>139</v>
      </c>
      <c r="B49" s="5" t="s">
        <v>71</v>
      </c>
      <c r="C49" s="6" t="s">
        <v>52</v>
      </c>
      <c r="D49" s="12">
        <f>'📊 Waste Summary'!D40</f>
        <v>3.17</v>
      </c>
      <c r="E49" s="53">
        <f>'📊 Waste Summary'!E40</f>
        <v>3</v>
      </c>
      <c r="F49" s="54">
        <f>'📊 Waste Summary'!F40</f>
        <v>9.51</v>
      </c>
      <c r="G49" s="7" t="str">
        <f t="shared" si="1"/>
        <v>🟢 Low</v>
      </c>
    </row>
    <row r="50" spans="1:7" ht="17.100000000000001" customHeight="1" x14ac:dyDescent="0.25">
      <c r="A50" s="59" t="s">
        <v>139</v>
      </c>
      <c r="B50" s="55" t="s">
        <v>72</v>
      </c>
      <c r="C50" s="56" t="s">
        <v>52</v>
      </c>
      <c r="D50" s="12">
        <f>'📊 Waste Summary'!D41</f>
        <v>1.49</v>
      </c>
      <c r="E50" s="53">
        <f>'📊 Waste Summary'!E41</f>
        <v>9.5</v>
      </c>
      <c r="F50" s="54">
        <f>'📊 Waste Summary'!F41</f>
        <v>14.154999999999999</v>
      </c>
      <c r="G50" s="57" t="str">
        <f t="shared" si="1"/>
        <v>🟠 Moderate</v>
      </c>
    </row>
    <row r="51" spans="1:7" ht="17.100000000000001" customHeight="1" x14ac:dyDescent="0.25">
      <c r="A51" s="59" t="s">
        <v>139</v>
      </c>
      <c r="B51" s="5" t="s">
        <v>73</v>
      </c>
      <c r="C51" s="6" t="s">
        <v>52</v>
      </c>
      <c r="D51" s="12">
        <f>'📊 Waste Summary'!D42</f>
        <v>12.35</v>
      </c>
      <c r="E51" s="53">
        <f>'📊 Waste Summary'!E42</f>
        <v>0</v>
      </c>
      <c r="F51" s="54">
        <f>'📊 Waste Summary'!F42</f>
        <v>0</v>
      </c>
      <c r="G51" s="7" t="str">
        <f t="shared" si="1"/>
        <v>—</v>
      </c>
    </row>
    <row r="52" spans="1:7" ht="17.100000000000001" customHeight="1" x14ac:dyDescent="0.25">
      <c r="A52" s="59" t="s">
        <v>139</v>
      </c>
      <c r="B52" s="55" t="s">
        <v>75</v>
      </c>
      <c r="C52" s="56" t="s">
        <v>52</v>
      </c>
      <c r="D52" s="12">
        <f>'📊 Waste Summary'!D43</f>
        <v>6.65</v>
      </c>
      <c r="E52" s="53">
        <f>'📊 Waste Summary'!E43</f>
        <v>0</v>
      </c>
      <c r="F52" s="54">
        <f>'📊 Waste Summary'!F43</f>
        <v>0</v>
      </c>
      <c r="G52" s="57" t="str">
        <f t="shared" si="1"/>
        <v>—</v>
      </c>
    </row>
    <row r="53" spans="1:7" ht="17.100000000000001" customHeight="1" x14ac:dyDescent="0.25">
      <c r="A53" s="59" t="s">
        <v>139</v>
      </c>
      <c r="B53" s="5" t="s">
        <v>77</v>
      </c>
      <c r="C53" s="6" t="s">
        <v>78</v>
      </c>
      <c r="D53" s="12">
        <f>'📊 Waste Summary'!D44</f>
        <v>0.51</v>
      </c>
      <c r="E53" s="53">
        <f>'📊 Waste Summary'!E44</f>
        <v>18</v>
      </c>
      <c r="F53" s="54">
        <f>'📊 Waste Summary'!F44</f>
        <v>9.18</v>
      </c>
      <c r="G53" s="7" t="str">
        <f t="shared" si="1"/>
        <v>🔴 High</v>
      </c>
    </row>
    <row r="54" spans="1:7" ht="17.100000000000001" customHeight="1" x14ac:dyDescent="0.25">
      <c r="A54" s="59" t="s">
        <v>139</v>
      </c>
      <c r="B54" s="55" t="s">
        <v>80</v>
      </c>
      <c r="C54" s="56" t="s">
        <v>78</v>
      </c>
      <c r="D54" s="12">
        <f>'📊 Waste Summary'!D45</f>
        <v>1.8</v>
      </c>
      <c r="E54" s="53">
        <f>'📊 Waste Summary'!E45</f>
        <v>28</v>
      </c>
      <c r="F54" s="54">
        <f>'📊 Waste Summary'!F45</f>
        <v>50.4</v>
      </c>
      <c r="G54" s="57" t="str">
        <f t="shared" si="1"/>
        <v>🔴 High</v>
      </c>
    </row>
    <row r="55" spans="1:7" ht="17.100000000000001" customHeight="1" x14ac:dyDescent="0.25">
      <c r="A55" s="59" t="s">
        <v>139</v>
      </c>
      <c r="B55" s="5" t="s">
        <v>82</v>
      </c>
      <c r="C55" s="6" t="s">
        <v>78</v>
      </c>
      <c r="D55" s="12">
        <f>'📊 Waste Summary'!D46</f>
        <v>0.99</v>
      </c>
      <c r="E55" s="53">
        <f>'📊 Waste Summary'!E46</f>
        <v>27</v>
      </c>
      <c r="F55" s="54">
        <f>'📊 Waste Summary'!F46</f>
        <v>26.73</v>
      </c>
      <c r="G55" s="7" t="str">
        <f t="shared" si="1"/>
        <v>🔴 High</v>
      </c>
    </row>
    <row r="56" spans="1:7" ht="17.100000000000001" customHeight="1" x14ac:dyDescent="0.25">
      <c r="A56" s="59" t="s">
        <v>139</v>
      </c>
      <c r="B56" s="55" t="s">
        <v>83</v>
      </c>
      <c r="C56" s="56" t="s">
        <v>78</v>
      </c>
      <c r="D56" s="12">
        <f>'📊 Waste Summary'!D47</f>
        <v>2.04</v>
      </c>
      <c r="E56" s="53">
        <f>'📊 Waste Summary'!E47</f>
        <v>24</v>
      </c>
      <c r="F56" s="54">
        <f>'📊 Waste Summary'!F47</f>
        <v>48.96</v>
      </c>
      <c r="G56" s="57" t="str">
        <f t="shared" si="1"/>
        <v>🔴 High</v>
      </c>
    </row>
    <row r="57" spans="1:7" ht="17.100000000000001" customHeight="1" x14ac:dyDescent="0.25">
      <c r="A57" s="59" t="s">
        <v>139</v>
      </c>
      <c r="B57" s="5" t="s">
        <v>84</v>
      </c>
      <c r="C57" s="6" t="s">
        <v>78</v>
      </c>
      <c r="D57" s="12">
        <f>'📊 Waste Summary'!D48</f>
        <v>0.57999999999999996</v>
      </c>
      <c r="E57" s="53">
        <f>'📊 Waste Summary'!E48</f>
        <v>22</v>
      </c>
      <c r="F57" s="54">
        <f>'📊 Waste Summary'!F48</f>
        <v>12.76</v>
      </c>
      <c r="G57" s="7" t="str">
        <f t="shared" si="1"/>
        <v>🔴 High</v>
      </c>
    </row>
    <row r="58" spans="1:7" ht="17.100000000000001" customHeight="1" x14ac:dyDescent="0.25">
      <c r="A58" s="59" t="s">
        <v>139</v>
      </c>
      <c r="B58" s="55" t="s">
        <v>85</v>
      </c>
      <c r="C58" s="56" t="s">
        <v>78</v>
      </c>
      <c r="D58" s="12">
        <f>'📊 Waste Summary'!D49</f>
        <v>1.1499999999999999</v>
      </c>
      <c r="E58" s="53">
        <f>'📊 Waste Summary'!E49</f>
        <v>4</v>
      </c>
      <c r="F58" s="54">
        <f>'📊 Waste Summary'!F49</f>
        <v>4.5999999999999996</v>
      </c>
      <c r="G58" s="57" t="str">
        <f t="shared" si="1"/>
        <v>🟢 Low</v>
      </c>
    </row>
    <row r="59" spans="1:7" ht="17.100000000000001" customHeight="1" x14ac:dyDescent="0.25">
      <c r="A59" s="59" t="s">
        <v>139</v>
      </c>
      <c r="B59" s="5" t="s">
        <v>87</v>
      </c>
      <c r="C59" s="6" t="s">
        <v>78</v>
      </c>
      <c r="D59" s="12">
        <f>'📊 Waste Summary'!D50</f>
        <v>7.1749999999999998</v>
      </c>
      <c r="E59" s="53">
        <f>'📊 Waste Summary'!E50</f>
        <v>0</v>
      </c>
      <c r="F59" s="54">
        <f>'📊 Waste Summary'!F50</f>
        <v>0</v>
      </c>
      <c r="G59" s="7" t="str">
        <f t="shared" si="1"/>
        <v>—</v>
      </c>
    </row>
    <row r="60" spans="1:7" ht="17.100000000000001" customHeight="1" x14ac:dyDescent="0.25">
      <c r="A60" s="59" t="s">
        <v>139</v>
      </c>
      <c r="B60" s="55" t="s">
        <v>89</v>
      </c>
      <c r="C60" s="56" t="s">
        <v>22</v>
      </c>
      <c r="D60" s="12">
        <f>'📊 Waste Summary'!D51</f>
        <v>3.036</v>
      </c>
      <c r="E60" s="53">
        <f>'📊 Waste Summary'!E51</f>
        <v>6.5</v>
      </c>
      <c r="F60" s="54">
        <f>'📊 Waste Summary'!F51</f>
        <v>19.734000000000002</v>
      </c>
      <c r="G60" s="57" t="str">
        <f t="shared" si="1"/>
        <v>🟠 Moderate</v>
      </c>
    </row>
    <row r="61" spans="1:7" ht="17.100000000000001" customHeight="1" x14ac:dyDescent="0.25">
      <c r="A61" s="59" t="s">
        <v>139</v>
      </c>
      <c r="B61" s="5" t="s">
        <v>90</v>
      </c>
      <c r="C61" s="6" t="s">
        <v>22</v>
      </c>
      <c r="D61" s="12">
        <f>'📊 Waste Summary'!D52</f>
        <v>0.8</v>
      </c>
      <c r="E61" s="53">
        <f>'📊 Waste Summary'!E52</f>
        <v>2</v>
      </c>
      <c r="F61" s="54">
        <f>'📊 Waste Summary'!F52</f>
        <v>1.6</v>
      </c>
      <c r="G61" s="7" t="str">
        <f t="shared" si="1"/>
        <v>🟢 Low</v>
      </c>
    </row>
    <row r="62" spans="1:7" ht="17.100000000000001" customHeight="1" x14ac:dyDescent="0.25">
      <c r="A62" s="60" t="s">
        <v>140</v>
      </c>
      <c r="B62" s="55" t="s">
        <v>92</v>
      </c>
      <c r="C62" s="56" t="s">
        <v>22</v>
      </c>
      <c r="D62" s="12">
        <f>'📊 Waste Summary'!D53</f>
        <v>8.6</v>
      </c>
      <c r="E62" s="53">
        <f>'📊 Waste Summary'!E53</f>
        <v>15.5</v>
      </c>
      <c r="F62" s="54">
        <f>'📊 Waste Summary'!F53</f>
        <v>133.29999999999998</v>
      </c>
      <c r="G62" s="57" t="str">
        <f t="shared" si="1"/>
        <v>🔴 High</v>
      </c>
    </row>
    <row r="63" spans="1:7" ht="17.100000000000001" customHeight="1" x14ac:dyDescent="0.25">
      <c r="A63" s="60" t="s">
        <v>140</v>
      </c>
      <c r="B63" s="5" t="s">
        <v>94</v>
      </c>
      <c r="C63" s="6" t="s">
        <v>22</v>
      </c>
      <c r="D63" s="12">
        <f>'📊 Waste Summary'!D54</f>
        <v>2.5299999999999998</v>
      </c>
      <c r="E63" s="53">
        <f>'📊 Waste Summary'!E54</f>
        <v>5.5</v>
      </c>
      <c r="F63" s="54">
        <f>'📊 Waste Summary'!F54</f>
        <v>13.914999999999999</v>
      </c>
      <c r="G63" s="7" t="str">
        <f t="shared" si="1"/>
        <v>🟠 Moderate</v>
      </c>
    </row>
    <row r="64" spans="1:7" ht="17.100000000000001" customHeight="1" x14ac:dyDescent="0.25">
      <c r="A64" s="60" t="s">
        <v>140</v>
      </c>
      <c r="B64" s="55" t="s">
        <v>96</v>
      </c>
      <c r="C64" s="56" t="s">
        <v>22</v>
      </c>
      <c r="D64" s="12">
        <f>'📊 Waste Summary'!D55</f>
        <v>6.08</v>
      </c>
      <c r="E64" s="53">
        <f>'📊 Waste Summary'!E55</f>
        <v>6.5</v>
      </c>
      <c r="F64" s="54">
        <f>'📊 Waste Summary'!F55</f>
        <v>39.520000000000003</v>
      </c>
      <c r="G64" s="57" t="str">
        <f t="shared" si="1"/>
        <v>🟠 Moderate</v>
      </c>
    </row>
    <row r="65" spans="1:7" ht="17.100000000000001" customHeight="1" x14ac:dyDescent="0.25">
      <c r="A65" s="60" t="s">
        <v>140</v>
      </c>
      <c r="B65" s="5" t="s">
        <v>98</v>
      </c>
      <c r="C65" s="6" t="s">
        <v>22</v>
      </c>
      <c r="D65" s="12">
        <f>'📊 Waste Summary'!D56</f>
        <v>2.5</v>
      </c>
      <c r="E65" s="53">
        <f>'📊 Waste Summary'!E56</f>
        <v>8.5</v>
      </c>
      <c r="F65" s="54">
        <f>'📊 Waste Summary'!F56</f>
        <v>21.25</v>
      </c>
      <c r="G65" s="7" t="str">
        <f t="shared" si="1"/>
        <v>🟠 Moderate</v>
      </c>
    </row>
    <row r="66" spans="1:7" ht="17.100000000000001" customHeight="1" x14ac:dyDescent="0.25">
      <c r="A66" s="60" t="s">
        <v>140</v>
      </c>
      <c r="B66" s="55" t="s">
        <v>99</v>
      </c>
      <c r="C66" s="56" t="s">
        <v>22</v>
      </c>
      <c r="D66" s="12">
        <f>'📊 Waste Summary'!D57</f>
        <v>7.5</v>
      </c>
      <c r="E66" s="53">
        <f>'📊 Waste Summary'!E57</f>
        <v>5.5</v>
      </c>
      <c r="F66" s="54">
        <f>'📊 Waste Summary'!F57</f>
        <v>41.25</v>
      </c>
      <c r="G66" s="57" t="str">
        <f t="shared" si="1"/>
        <v>🟠 Moderate</v>
      </c>
    </row>
    <row r="67" spans="1:7" ht="17.100000000000001" customHeight="1" x14ac:dyDescent="0.25">
      <c r="A67" s="60" t="s">
        <v>140</v>
      </c>
      <c r="B67" s="5" t="s">
        <v>101</v>
      </c>
      <c r="C67" s="6" t="s">
        <v>22</v>
      </c>
      <c r="D67" s="12">
        <f>'📊 Waste Summary'!D58</f>
        <v>4</v>
      </c>
      <c r="E67" s="53">
        <f>'📊 Waste Summary'!E58</f>
        <v>0</v>
      </c>
      <c r="F67" s="54">
        <f>'📊 Waste Summary'!F58</f>
        <v>0</v>
      </c>
      <c r="G67" s="7" t="str">
        <f t="shared" si="1"/>
        <v>—</v>
      </c>
    </row>
    <row r="68" spans="1:7" ht="17.100000000000001" customHeight="1" x14ac:dyDescent="0.25">
      <c r="A68" s="60" t="s">
        <v>140</v>
      </c>
      <c r="B68" s="55" t="s">
        <v>102</v>
      </c>
      <c r="C68" s="56" t="s">
        <v>22</v>
      </c>
      <c r="D68" s="12">
        <f>'📊 Waste Summary'!D59</f>
        <v>3.5</v>
      </c>
      <c r="E68" s="53">
        <f>'📊 Waste Summary'!E59</f>
        <v>0</v>
      </c>
      <c r="F68" s="54">
        <f>'📊 Waste Summary'!F59</f>
        <v>0</v>
      </c>
      <c r="G68" s="57" t="str">
        <f t="shared" si="1"/>
        <v>—</v>
      </c>
    </row>
    <row r="69" spans="1:7" ht="17.100000000000001" customHeight="1" x14ac:dyDescent="0.25">
      <c r="A69" s="60" t="s">
        <v>140</v>
      </c>
      <c r="B69" s="5" t="s">
        <v>103</v>
      </c>
      <c r="C69" s="6" t="s">
        <v>22</v>
      </c>
      <c r="D69" s="12">
        <f>'📊 Waste Summary'!D60</f>
        <v>2.5</v>
      </c>
      <c r="E69" s="53">
        <f>'📊 Waste Summary'!E60</f>
        <v>0</v>
      </c>
      <c r="F69" s="54">
        <f>'📊 Waste Summary'!F60</f>
        <v>0</v>
      </c>
      <c r="G69" s="7" t="str">
        <f t="shared" si="1"/>
        <v>—</v>
      </c>
    </row>
    <row r="70" spans="1:7" ht="17.100000000000001" customHeight="1" x14ac:dyDescent="0.25">
      <c r="A70" s="60" t="s">
        <v>140</v>
      </c>
      <c r="B70" s="55" t="s">
        <v>104</v>
      </c>
      <c r="C70" s="56" t="s">
        <v>22</v>
      </c>
      <c r="D70" s="12">
        <f>'📊 Waste Summary'!D61</f>
        <v>0.92</v>
      </c>
      <c r="E70" s="53">
        <f>'📊 Waste Summary'!E61</f>
        <v>4</v>
      </c>
      <c r="F70" s="54">
        <f>'📊 Waste Summary'!F61</f>
        <v>3.68</v>
      </c>
      <c r="G70" s="57" t="str">
        <f t="shared" si="1"/>
        <v>🟢 Low</v>
      </c>
    </row>
    <row r="71" spans="1:7" ht="17.100000000000001" customHeight="1" x14ac:dyDescent="0.25">
      <c r="A71" s="60" t="s">
        <v>140</v>
      </c>
      <c r="B71" s="5" t="s">
        <v>106</v>
      </c>
      <c r="C71" s="6" t="s">
        <v>22</v>
      </c>
      <c r="D71" s="12">
        <f>'📊 Waste Summary'!D62</f>
        <v>0.92</v>
      </c>
      <c r="E71" s="53">
        <f>'📊 Waste Summary'!E62</f>
        <v>6</v>
      </c>
      <c r="F71" s="54">
        <f>'📊 Waste Summary'!F62</f>
        <v>5.5200000000000005</v>
      </c>
      <c r="G71" s="7" t="str">
        <f t="shared" si="1"/>
        <v>🟠 Moderate</v>
      </c>
    </row>
    <row r="72" spans="1:7" ht="17.100000000000001" customHeight="1" x14ac:dyDescent="0.25">
      <c r="A72" s="60" t="s">
        <v>140</v>
      </c>
      <c r="B72" s="55" t="s">
        <v>108</v>
      </c>
      <c r="C72" s="56" t="s">
        <v>22</v>
      </c>
      <c r="D72" s="12">
        <f>'📊 Waste Summary'!D63</f>
        <v>0.54</v>
      </c>
      <c r="E72" s="53">
        <f>'📊 Waste Summary'!E63</f>
        <v>9.5</v>
      </c>
      <c r="F72" s="54">
        <f>'📊 Waste Summary'!F63</f>
        <v>5.1300000000000008</v>
      </c>
      <c r="G72" s="57" t="str">
        <f t="shared" si="1"/>
        <v>🟠 Moderate</v>
      </c>
    </row>
    <row r="73" spans="1:7" ht="17.100000000000001" customHeight="1" x14ac:dyDescent="0.25">
      <c r="A73" s="60" t="s">
        <v>140</v>
      </c>
      <c r="B73" s="5" t="s">
        <v>110</v>
      </c>
      <c r="C73" s="6" t="s">
        <v>22</v>
      </c>
      <c r="D73" s="12">
        <f>'📊 Waste Summary'!D64</f>
        <v>1.9</v>
      </c>
      <c r="E73" s="53">
        <f>'📊 Waste Summary'!E64</f>
        <v>13</v>
      </c>
      <c r="F73" s="54">
        <f>'📊 Waste Summary'!F64</f>
        <v>24.7</v>
      </c>
      <c r="G73" s="7" t="str">
        <f t="shared" si="1"/>
        <v>🔴 High</v>
      </c>
    </row>
    <row r="74" spans="1:7" ht="17.100000000000001" customHeight="1" x14ac:dyDescent="0.25">
      <c r="A74" s="60" t="s">
        <v>140</v>
      </c>
      <c r="B74" s="55" t="s">
        <v>112</v>
      </c>
      <c r="C74" s="56" t="s">
        <v>22</v>
      </c>
      <c r="D74" s="12">
        <f>'📊 Waste Summary'!D65</f>
        <v>0.61</v>
      </c>
      <c r="E74" s="53">
        <f>'📊 Waste Summary'!E65</f>
        <v>0</v>
      </c>
      <c r="F74" s="54">
        <f>'📊 Waste Summary'!F65</f>
        <v>0</v>
      </c>
      <c r="G74" s="57" t="str">
        <f t="shared" si="1"/>
        <v>—</v>
      </c>
    </row>
    <row r="75" spans="1:7" ht="17.100000000000001" customHeight="1" x14ac:dyDescent="0.25">
      <c r="A75" s="60" t="s">
        <v>140</v>
      </c>
      <c r="B75" s="5" t="s">
        <v>114</v>
      </c>
      <c r="C75" s="6" t="s">
        <v>22</v>
      </c>
      <c r="D75" s="12">
        <f>'📊 Waste Summary'!D66</f>
        <v>0.51</v>
      </c>
      <c r="E75" s="53">
        <f>'📊 Waste Summary'!E66</f>
        <v>0</v>
      </c>
      <c r="F75" s="54">
        <f>'📊 Waste Summary'!F66</f>
        <v>0</v>
      </c>
      <c r="G75" s="7" t="str">
        <f t="shared" si="1"/>
        <v>—</v>
      </c>
    </row>
    <row r="76" spans="1:7" ht="17.100000000000001" customHeight="1" x14ac:dyDescent="0.25">
      <c r="A76" s="60" t="s">
        <v>140</v>
      </c>
      <c r="B76" s="55" t="s">
        <v>115</v>
      </c>
      <c r="C76" s="56" t="s">
        <v>22</v>
      </c>
      <c r="D76" s="12">
        <f>'📊 Waste Summary'!D67</f>
        <v>0.56999999999999995</v>
      </c>
      <c r="E76" s="53">
        <f>'📊 Waste Summary'!E67</f>
        <v>0</v>
      </c>
      <c r="F76" s="54">
        <f>'📊 Waste Summary'!F67</f>
        <v>0</v>
      </c>
      <c r="G76" s="57" t="str">
        <f t="shared" si="1"/>
        <v>—</v>
      </c>
    </row>
    <row r="77" spans="1:7" ht="17.100000000000001" customHeight="1" x14ac:dyDescent="0.25">
      <c r="A77" s="60" t="s">
        <v>140</v>
      </c>
      <c r="B77" s="5" t="s">
        <v>117</v>
      </c>
      <c r="C77" s="6" t="s">
        <v>22</v>
      </c>
      <c r="D77" s="12">
        <f>'📊 Waste Summary'!D68</f>
        <v>2</v>
      </c>
      <c r="E77" s="53">
        <f>'📊 Waste Summary'!E68</f>
        <v>4</v>
      </c>
      <c r="F77" s="54">
        <f>'📊 Waste Summary'!F68</f>
        <v>8</v>
      </c>
      <c r="G77" s="7" t="str">
        <f t="shared" ref="G77:G84" si="2">IF(E77&gt;0,IF(E77&gt;=10,"🔴 High",IF(E77&gt;=5,"🟠 Moderate","🟢 Low")),"—")</f>
        <v>🟢 Low</v>
      </c>
    </row>
    <row r="78" spans="1:7" ht="17.100000000000001" customHeight="1" x14ac:dyDescent="0.25">
      <c r="A78" s="60" t="s">
        <v>140</v>
      </c>
      <c r="B78" s="55" t="s">
        <v>118</v>
      </c>
      <c r="C78" s="56" t="s">
        <v>22</v>
      </c>
      <c r="D78" s="12">
        <f>'📊 Waste Summary'!D69</f>
        <v>0.8</v>
      </c>
      <c r="E78" s="53">
        <f>'📊 Waste Summary'!E69</f>
        <v>9</v>
      </c>
      <c r="F78" s="54">
        <f>'📊 Waste Summary'!F69</f>
        <v>7.2</v>
      </c>
      <c r="G78" s="57" t="str">
        <f t="shared" si="2"/>
        <v>🟠 Moderate</v>
      </c>
    </row>
    <row r="79" spans="1:7" ht="17.100000000000001" customHeight="1" x14ac:dyDescent="0.25">
      <c r="A79" s="60" t="s">
        <v>140</v>
      </c>
      <c r="B79" s="5" t="s">
        <v>119</v>
      </c>
      <c r="C79" s="6" t="s">
        <v>22</v>
      </c>
      <c r="D79" s="12">
        <f>'📊 Waste Summary'!D70</f>
        <v>0.54</v>
      </c>
      <c r="E79" s="53">
        <f>'📊 Waste Summary'!E70</f>
        <v>0</v>
      </c>
      <c r="F79" s="54">
        <f>'📊 Waste Summary'!F70</f>
        <v>0</v>
      </c>
      <c r="G79" s="7" t="str">
        <f t="shared" si="2"/>
        <v>—</v>
      </c>
    </row>
    <row r="80" spans="1:7" ht="17.100000000000001" customHeight="1" x14ac:dyDescent="0.25">
      <c r="A80" s="60" t="s">
        <v>140</v>
      </c>
      <c r="B80" s="55" t="s">
        <v>121</v>
      </c>
      <c r="C80" s="56" t="s">
        <v>22</v>
      </c>
      <c r="D80" s="12">
        <f>'📊 Waste Summary'!D71</f>
        <v>0.28000000000000003</v>
      </c>
      <c r="E80" s="53">
        <f>'📊 Waste Summary'!E71</f>
        <v>0</v>
      </c>
      <c r="F80" s="54">
        <f>'📊 Waste Summary'!F71</f>
        <v>0</v>
      </c>
      <c r="G80" s="57" t="str">
        <f t="shared" si="2"/>
        <v>—</v>
      </c>
    </row>
    <row r="81" spans="1:7" ht="17.100000000000001" customHeight="1" x14ac:dyDescent="0.25">
      <c r="A81" s="60" t="s">
        <v>140</v>
      </c>
      <c r="B81" s="5" t="s">
        <v>123</v>
      </c>
      <c r="C81" s="6" t="s">
        <v>12</v>
      </c>
      <c r="D81" s="12">
        <f>'📊 Waste Summary'!D72</f>
        <v>0.15</v>
      </c>
      <c r="E81" s="53">
        <f>'📊 Waste Summary'!E72</f>
        <v>2</v>
      </c>
      <c r="F81" s="54">
        <f>'📊 Waste Summary'!F72</f>
        <v>0.3</v>
      </c>
      <c r="G81" s="7" t="str">
        <f t="shared" si="2"/>
        <v>🟢 Low</v>
      </c>
    </row>
    <row r="82" spans="1:7" ht="17.100000000000001" customHeight="1" x14ac:dyDescent="0.25">
      <c r="A82" s="60" t="s">
        <v>140</v>
      </c>
      <c r="B82" s="55" t="s">
        <v>125</v>
      </c>
      <c r="C82" s="56" t="s">
        <v>22</v>
      </c>
      <c r="D82" s="12">
        <f>'📊 Waste Summary'!D73</f>
        <v>0.3</v>
      </c>
      <c r="E82" s="53">
        <f>'📊 Waste Summary'!E73</f>
        <v>0</v>
      </c>
      <c r="F82" s="54">
        <f>'📊 Waste Summary'!F73</f>
        <v>0</v>
      </c>
      <c r="G82" s="57" t="str">
        <f t="shared" si="2"/>
        <v>—</v>
      </c>
    </row>
    <row r="83" spans="1:7" ht="17.100000000000001" customHeight="1" x14ac:dyDescent="0.25">
      <c r="A83" s="60" t="s">
        <v>140</v>
      </c>
      <c r="B83" s="5" t="s">
        <v>126</v>
      </c>
      <c r="C83" s="6" t="s">
        <v>22</v>
      </c>
      <c r="D83" s="12">
        <f>'📊 Waste Summary'!D74</f>
        <v>0.25</v>
      </c>
      <c r="E83" s="53">
        <f>'📊 Waste Summary'!E74</f>
        <v>0</v>
      </c>
      <c r="F83" s="54">
        <f>'📊 Waste Summary'!F74</f>
        <v>0</v>
      </c>
      <c r="G83" s="7" t="str">
        <f t="shared" si="2"/>
        <v>—</v>
      </c>
    </row>
    <row r="84" spans="1:7" ht="17.100000000000001" customHeight="1" x14ac:dyDescent="0.25">
      <c r="A84" s="60" t="s">
        <v>140</v>
      </c>
      <c r="B84" s="55" t="s">
        <v>127</v>
      </c>
      <c r="C84" s="56" t="s">
        <v>22</v>
      </c>
      <c r="D84" s="12">
        <f>'📊 Waste Summary'!D75</f>
        <v>0.4</v>
      </c>
      <c r="E84" s="53">
        <f>'📊 Waste Summary'!E75</f>
        <v>0</v>
      </c>
      <c r="F84" s="54">
        <f>'📊 Waste Summary'!F75</f>
        <v>0</v>
      </c>
      <c r="G84" s="57" t="str">
        <f t="shared" si="2"/>
        <v>—</v>
      </c>
    </row>
  </sheetData>
  <mergeCells count="5">
    <mergeCell ref="A2:L2"/>
    <mergeCell ref="A9"/>
    <mergeCell ref="A11:L11"/>
    <mergeCell ref="A1:L1"/>
    <mergeCell ref="A3:L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>
      <pane xSplit="3" ySplit="2" topLeftCell="D3" activePane="bottomRight" state="frozen"/>
      <selection pane="topRight"/>
      <selection pane="bottomLeft"/>
      <selection pane="bottomRight" activeCell="V17" sqref="V17"/>
    </sheetView>
  </sheetViews>
  <sheetFormatPr defaultRowHeight="15" x14ac:dyDescent="0.25"/>
  <cols>
    <col min="1" max="1" width="24" customWidth="1"/>
    <col min="2" max="2" width="6" customWidth="1"/>
    <col min="3" max="10" width="9" customWidth="1"/>
    <col min="11" max="11" width="10" customWidth="1"/>
    <col min="12" max="12" width="11" customWidth="1"/>
  </cols>
  <sheetData>
    <row r="1" spans="1:12" ht="32.1" customHeight="1" x14ac:dyDescent="0.25">
      <c r="A1" s="83" t="s">
        <v>144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32.1" customHeight="1" x14ac:dyDescent="0.25">
      <c r="A2" s="9" t="s">
        <v>3</v>
      </c>
      <c r="B2" s="9" t="s">
        <v>4</v>
      </c>
      <c r="C2" s="10" t="s">
        <v>145</v>
      </c>
      <c r="D2" s="9" t="s">
        <v>146</v>
      </c>
      <c r="E2" s="9" t="s">
        <v>147</v>
      </c>
      <c r="F2" s="9" t="s">
        <v>148</v>
      </c>
      <c r="G2" s="9" t="s">
        <v>149</v>
      </c>
      <c r="H2" s="9" t="s">
        <v>150</v>
      </c>
      <c r="I2" s="9" t="s">
        <v>151</v>
      </c>
      <c r="J2" s="9" t="s">
        <v>152</v>
      </c>
      <c r="K2" s="9" t="s">
        <v>153</v>
      </c>
      <c r="L2" s="11" t="s">
        <v>154</v>
      </c>
    </row>
    <row r="3" spans="1:12" ht="20.100000000000001" customHeight="1" x14ac:dyDescent="0.25">
      <c r="A3" s="80" t="s">
        <v>155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1:12" ht="18" customHeight="1" x14ac:dyDescent="0.25">
      <c r="A4" s="17" t="s">
        <v>11</v>
      </c>
      <c r="B4" s="18" t="s">
        <v>12</v>
      </c>
      <c r="C4" s="19">
        <v>0.1</v>
      </c>
      <c r="D4" s="20">
        <v>3</v>
      </c>
      <c r="E4" s="20">
        <v>19</v>
      </c>
      <c r="F4" s="20">
        <v>6</v>
      </c>
      <c r="G4" s="20">
        <v>15</v>
      </c>
      <c r="H4" s="20"/>
      <c r="I4" s="20"/>
      <c r="J4" s="20"/>
      <c r="K4" s="21">
        <f t="shared" ref="K4:K9" si="0">SUM(D4:J4)</f>
        <v>43</v>
      </c>
      <c r="L4" s="21">
        <f t="shared" ref="L4:L9" si="1">IFERROR(AVERAGEIF(D4:J4,"&gt;0"),"")</f>
        <v>10.75</v>
      </c>
    </row>
    <row r="5" spans="1:12" ht="18" customHeight="1" x14ac:dyDescent="0.25">
      <c r="A5" s="22" t="s">
        <v>14</v>
      </c>
      <c r="B5" s="23" t="s">
        <v>12</v>
      </c>
      <c r="C5" s="24">
        <v>0.1</v>
      </c>
      <c r="D5" s="25">
        <v>11</v>
      </c>
      <c r="E5" s="25">
        <v>9</v>
      </c>
      <c r="F5" s="25">
        <v>6</v>
      </c>
      <c r="G5" s="25">
        <v>7</v>
      </c>
      <c r="H5" s="25"/>
      <c r="I5" s="25"/>
      <c r="J5" s="25"/>
      <c r="K5" s="26">
        <f t="shared" si="0"/>
        <v>33</v>
      </c>
      <c r="L5" s="26">
        <f t="shared" si="1"/>
        <v>8.25</v>
      </c>
    </row>
    <row r="6" spans="1:12" ht="18" customHeight="1" x14ac:dyDescent="0.25">
      <c r="A6" s="17" t="s">
        <v>15</v>
      </c>
      <c r="B6" s="18" t="s">
        <v>12</v>
      </c>
      <c r="C6" s="19">
        <v>0.1</v>
      </c>
      <c r="D6" s="20">
        <v>5</v>
      </c>
      <c r="E6" s="20">
        <v>12</v>
      </c>
      <c r="F6" s="20">
        <v>8</v>
      </c>
      <c r="G6" s="20">
        <v>19</v>
      </c>
      <c r="H6" s="20"/>
      <c r="I6" s="20"/>
      <c r="J6" s="20"/>
      <c r="K6" s="21">
        <f t="shared" si="0"/>
        <v>44</v>
      </c>
      <c r="L6" s="21">
        <f t="shared" si="1"/>
        <v>11</v>
      </c>
    </row>
    <row r="7" spans="1:12" ht="18" customHeight="1" x14ac:dyDescent="0.25">
      <c r="A7" s="22" t="s">
        <v>16</v>
      </c>
      <c r="B7" s="23" t="s">
        <v>12</v>
      </c>
      <c r="C7" s="24">
        <v>0.1</v>
      </c>
      <c r="D7" s="25">
        <v>5</v>
      </c>
      <c r="E7" s="25">
        <v>10</v>
      </c>
      <c r="F7" s="25">
        <v>8</v>
      </c>
      <c r="G7" s="25">
        <v>14</v>
      </c>
      <c r="H7" s="25"/>
      <c r="I7" s="25"/>
      <c r="J7" s="25"/>
      <c r="K7" s="26">
        <f t="shared" si="0"/>
        <v>37</v>
      </c>
      <c r="L7" s="26">
        <f t="shared" si="1"/>
        <v>9.25</v>
      </c>
    </row>
    <row r="8" spans="1:12" ht="18" customHeight="1" x14ac:dyDescent="0.25">
      <c r="A8" s="17" t="s">
        <v>17</v>
      </c>
      <c r="B8" s="18" t="s">
        <v>12</v>
      </c>
      <c r="C8" s="19">
        <v>0.1</v>
      </c>
      <c r="D8" s="20">
        <f>48+21</f>
        <v>69</v>
      </c>
      <c r="E8" s="20">
        <v>38</v>
      </c>
      <c r="F8" s="20">
        <v>1</v>
      </c>
      <c r="G8" s="20">
        <v>26</v>
      </c>
      <c r="H8" s="20"/>
      <c r="I8" s="20"/>
      <c r="J8" s="20"/>
      <c r="K8" s="21">
        <f t="shared" si="0"/>
        <v>134</v>
      </c>
      <c r="L8" s="21">
        <f t="shared" si="1"/>
        <v>33.5</v>
      </c>
    </row>
    <row r="9" spans="1:12" ht="18" customHeight="1" x14ac:dyDescent="0.25">
      <c r="A9" s="22" t="s">
        <v>19</v>
      </c>
      <c r="B9" s="23" t="s">
        <v>12</v>
      </c>
      <c r="C9" s="24">
        <v>0.1</v>
      </c>
      <c r="D9" s="25">
        <v>2</v>
      </c>
      <c r="E9" s="25">
        <v>3.5</v>
      </c>
      <c r="F9" s="25"/>
      <c r="G9" s="25">
        <v>2.5</v>
      </c>
      <c r="H9" s="25"/>
      <c r="I9" s="25"/>
      <c r="J9" s="25"/>
      <c r="K9" s="26">
        <f t="shared" si="0"/>
        <v>8</v>
      </c>
      <c r="L9" s="26">
        <f t="shared" si="1"/>
        <v>2.6666666666666665</v>
      </c>
    </row>
    <row r="10" spans="1:12" ht="5.0999999999999996" customHeight="1" x14ac:dyDescent="0.25">
      <c r="A10" s="29"/>
      <c r="B10" s="30"/>
      <c r="C10" s="27"/>
      <c r="D10" s="31"/>
      <c r="E10" s="31"/>
      <c r="F10" s="31"/>
      <c r="G10" s="31"/>
      <c r="H10" s="31"/>
      <c r="I10" s="31"/>
      <c r="J10" s="31"/>
      <c r="K10" s="31"/>
      <c r="L10" s="32"/>
    </row>
    <row r="11" spans="1:12" ht="20.100000000000001" customHeight="1" x14ac:dyDescent="0.25">
      <c r="A11" s="80" t="s">
        <v>156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ht="18" customHeight="1" x14ac:dyDescent="0.25">
      <c r="A12" s="17" t="s">
        <v>21</v>
      </c>
      <c r="B12" s="18" t="s">
        <v>22</v>
      </c>
      <c r="C12" s="19">
        <v>0.1</v>
      </c>
      <c r="D12" s="90" t="s">
        <v>195</v>
      </c>
      <c r="E12" s="90" t="s">
        <v>195</v>
      </c>
      <c r="F12" s="90" t="s">
        <v>195</v>
      </c>
      <c r="G12" s="90" t="s">
        <v>195</v>
      </c>
      <c r="H12" s="20"/>
      <c r="I12" s="20"/>
      <c r="J12" s="20"/>
      <c r="K12" s="21">
        <f>SUM(D12:J12)</f>
        <v>0</v>
      </c>
      <c r="L12" s="21" t="str">
        <f>IFERROR(AVERAGEIF(D12:J12,"&gt;0"),"")</f>
        <v/>
      </c>
    </row>
    <row r="13" spans="1:12" ht="18" customHeight="1" x14ac:dyDescent="0.25">
      <c r="A13" s="22" t="s">
        <v>23</v>
      </c>
      <c r="B13" s="23" t="s">
        <v>22</v>
      </c>
      <c r="C13" s="24">
        <v>0.1</v>
      </c>
      <c r="D13" s="91" t="s">
        <v>195</v>
      </c>
      <c r="E13" s="91" t="s">
        <v>195</v>
      </c>
      <c r="F13" s="91" t="s">
        <v>195</v>
      </c>
      <c r="G13" s="91" t="s">
        <v>195</v>
      </c>
      <c r="H13" s="25"/>
      <c r="I13" s="25"/>
      <c r="J13" s="25"/>
      <c r="K13" s="26">
        <f>SUM(D13:J13)</f>
        <v>0</v>
      </c>
      <c r="L13" s="26" t="str">
        <f>IFERROR(AVERAGEIF(D13:J13,"&gt;0"),"")</f>
        <v/>
      </c>
    </row>
    <row r="14" spans="1:12" ht="5.0999999999999996" customHeight="1" x14ac:dyDescent="0.25">
      <c r="A14" s="29"/>
      <c r="B14" s="30"/>
      <c r="C14" s="27"/>
      <c r="D14" s="31"/>
      <c r="E14" s="31"/>
      <c r="F14" s="31"/>
      <c r="G14" s="31"/>
      <c r="H14" s="31"/>
      <c r="I14" s="31"/>
      <c r="J14" s="31"/>
      <c r="K14" s="31"/>
      <c r="L14" s="32"/>
    </row>
    <row r="15" spans="1:12" ht="20.100000000000001" customHeight="1" x14ac:dyDescent="0.25">
      <c r="A15" s="80" t="s">
        <v>157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ht="18" customHeight="1" x14ac:dyDescent="0.25">
      <c r="A16" s="17" t="s">
        <v>25</v>
      </c>
      <c r="B16" s="18" t="s">
        <v>22</v>
      </c>
      <c r="C16" s="19">
        <v>0.1</v>
      </c>
      <c r="D16" s="20">
        <v>6</v>
      </c>
      <c r="E16" s="20">
        <v>4</v>
      </c>
      <c r="F16" s="90" t="s">
        <v>195</v>
      </c>
      <c r="G16" s="20">
        <v>3</v>
      </c>
      <c r="H16" s="20"/>
      <c r="I16" s="20"/>
      <c r="J16" s="20"/>
      <c r="K16" s="21">
        <f>SUM(D16:J16)</f>
        <v>13</v>
      </c>
      <c r="L16" s="21">
        <f>IFERROR(AVERAGEIF(D16:J16,"&gt;0"),"")</f>
        <v>4.333333333333333</v>
      </c>
    </row>
    <row r="17" spans="1:12" ht="18" customHeight="1" x14ac:dyDescent="0.25">
      <c r="A17" s="22" t="s">
        <v>27</v>
      </c>
      <c r="B17" s="23" t="s">
        <v>22</v>
      </c>
      <c r="C17" s="24">
        <v>0.1</v>
      </c>
      <c r="D17" s="91" t="s">
        <v>195</v>
      </c>
      <c r="E17" s="91">
        <v>5</v>
      </c>
      <c r="F17" s="91" t="s">
        <v>195</v>
      </c>
      <c r="G17" s="91" t="s">
        <v>195</v>
      </c>
      <c r="H17" s="25"/>
      <c r="I17" s="25"/>
      <c r="J17" s="25"/>
      <c r="K17" s="26">
        <f>SUM(D17:J17)</f>
        <v>5</v>
      </c>
      <c r="L17" s="26">
        <f>IFERROR(AVERAGEIF(D17:J17,"&gt;0"),"")</f>
        <v>5</v>
      </c>
    </row>
    <row r="18" spans="1:12" ht="18" customHeight="1" x14ac:dyDescent="0.25">
      <c r="A18" s="17" t="s">
        <v>29</v>
      </c>
      <c r="B18" s="18" t="s">
        <v>22</v>
      </c>
      <c r="C18" s="19">
        <v>0.1</v>
      </c>
      <c r="D18" s="90" t="s">
        <v>195</v>
      </c>
      <c r="E18" s="90" t="s">
        <v>195</v>
      </c>
      <c r="F18" s="90" t="s">
        <v>195</v>
      </c>
      <c r="G18" s="90" t="s">
        <v>195</v>
      </c>
      <c r="H18" s="20"/>
      <c r="I18" s="20"/>
      <c r="J18" s="20"/>
      <c r="K18" s="21">
        <f>SUM(D18:J18)</f>
        <v>0</v>
      </c>
      <c r="L18" s="21" t="str">
        <f>IFERROR(AVERAGEIF(D18:J18,"&gt;0"),"")</f>
        <v/>
      </c>
    </row>
    <row r="19" spans="1:12" ht="18" customHeight="1" x14ac:dyDescent="0.25">
      <c r="A19" s="22" t="s">
        <v>30</v>
      </c>
      <c r="B19" s="23" t="s">
        <v>22</v>
      </c>
      <c r="C19" s="24">
        <v>0.1</v>
      </c>
      <c r="D19" s="25">
        <v>10</v>
      </c>
      <c r="E19" s="25">
        <v>0.5</v>
      </c>
      <c r="F19" s="25">
        <v>1</v>
      </c>
      <c r="G19" s="25">
        <v>1.5</v>
      </c>
      <c r="H19" s="25"/>
      <c r="I19" s="25"/>
      <c r="J19" s="25"/>
      <c r="K19" s="26">
        <f>SUM(D19:J19)</f>
        <v>13</v>
      </c>
      <c r="L19" s="26">
        <f>IFERROR(AVERAGEIF(D19:J19,"&gt;0"),"")</f>
        <v>3.25</v>
      </c>
    </row>
    <row r="20" spans="1:12" ht="18" customHeight="1" x14ac:dyDescent="0.25">
      <c r="A20" s="17" t="s">
        <v>32</v>
      </c>
      <c r="B20" s="18" t="s">
        <v>22</v>
      </c>
      <c r="C20" s="19">
        <v>0.1</v>
      </c>
      <c r="D20" s="20">
        <v>3</v>
      </c>
      <c r="E20" s="90" t="s">
        <v>195</v>
      </c>
      <c r="F20" s="90" t="s">
        <v>195</v>
      </c>
      <c r="G20" s="90" t="s">
        <v>195</v>
      </c>
      <c r="H20" s="20"/>
      <c r="I20" s="20"/>
      <c r="J20" s="20"/>
      <c r="K20" s="21">
        <f>SUM(D20:J20)</f>
        <v>3</v>
      </c>
      <c r="L20" s="21">
        <f>IFERROR(AVERAGEIF(D20:J20,"&gt;0"),"")</f>
        <v>3</v>
      </c>
    </row>
    <row r="21" spans="1:12" ht="5.0999999999999996" customHeight="1" x14ac:dyDescent="0.25">
      <c r="A21" s="33"/>
      <c r="B21" s="34"/>
      <c r="C21" s="28"/>
      <c r="D21" s="35"/>
      <c r="E21" s="35"/>
      <c r="F21" s="35"/>
      <c r="G21" s="35"/>
      <c r="H21" s="35"/>
      <c r="I21" s="35"/>
      <c r="J21" s="35"/>
      <c r="K21" s="35"/>
      <c r="L21" s="36"/>
    </row>
  </sheetData>
  <mergeCells count="4">
    <mergeCell ref="A3:L3"/>
    <mergeCell ref="A11:L11"/>
    <mergeCell ref="A15:L15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workbookViewId="0">
      <pane xSplit="3" ySplit="2" topLeftCell="D3" activePane="bottomRight" state="frozen"/>
      <selection pane="topRight"/>
      <selection pane="bottomLeft"/>
      <selection pane="bottomRight" activeCell="J32" sqref="J32"/>
    </sheetView>
  </sheetViews>
  <sheetFormatPr defaultRowHeight="15" x14ac:dyDescent="0.25"/>
  <cols>
    <col min="1" max="1" width="24" customWidth="1"/>
    <col min="2" max="2" width="6" customWidth="1"/>
    <col min="3" max="10" width="9" customWidth="1"/>
    <col min="11" max="11" width="10" customWidth="1"/>
    <col min="12" max="12" width="11" customWidth="1"/>
  </cols>
  <sheetData>
    <row r="1" spans="1:12" ht="32.1" customHeight="1" x14ac:dyDescent="0.25">
      <c r="A1" s="83" t="s">
        <v>158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32.1" customHeight="1" x14ac:dyDescent="0.25">
      <c r="A2" s="9" t="s">
        <v>3</v>
      </c>
      <c r="B2" s="9" t="s">
        <v>4</v>
      </c>
      <c r="C2" s="10" t="s">
        <v>145</v>
      </c>
      <c r="D2" s="9" t="s">
        <v>146</v>
      </c>
      <c r="E2" s="9" t="s">
        <v>147</v>
      </c>
      <c r="F2" s="9" t="s">
        <v>148</v>
      </c>
      <c r="G2" s="9" t="s">
        <v>149</v>
      </c>
      <c r="H2" s="9" t="s">
        <v>150</v>
      </c>
      <c r="I2" s="9" t="s">
        <v>151</v>
      </c>
      <c r="J2" s="9" t="s">
        <v>152</v>
      </c>
      <c r="K2" s="9" t="s">
        <v>153</v>
      </c>
      <c r="L2" s="11" t="s">
        <v>154</v>
      </c>
    </row>
    <row r="3" spans="1:12" ht="20.100000000000001" customHeight="1" x14ac:dyDescent="0.25">
      <c r="A3" s="80" t="s">
        <v>159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1:12" ht="18" customHeight="1" x14ac:dyDescent="0.25">
      <c r="A4" s="17" t="s">
        <v>34</v>
      </c>
      <c r="B4" s="18" t="s">
        <v>35</v>
      </c>
      <c r="C4" s="19">
        <v>0.1</v>
      </c>
      <c r="D4" s="20">
        <v>3</v>
      </c>
      <c r="E4" s="20">
        <v>2</v>
      </c>
      <c r="F4" s="20">
        <v>1</v>
      </c>
      <c r="G4" s="20">
        <v>5</v>
      </c>
      <c r="H4" s="20"/>
      <c r="I4" s="20"/>
      <c r="J4" s="20"/>
      <c r="K4" s="21">
        <f t="shared" ref="K4:K13" si="0">SUM(D4:J4)</f>
        <v>11</v>
      </c>
      <c r="L4" s="21">
        <f t="shared" ref="L4:L13" si="1">IFERROR(AVERAGEIF(D4:J4,"&gt;0"),"")</f>
        <v>2.75</v>
      </c>
    </row>
    <row r="5" spans="1:12" ht="18" customHeight="1" x14ac:dyDescent="0.25">
      <c r="A5" s="22" t="s">
        <v>37</v>
      </c>
      <c r="B5" s="23" t="s">
        <v>35</v>
      </c>
      <c r="C5" s="24">
        <v>0.1</v>
      </c>
      <c r="D5" s="25">
        <v>2</v>
      </c>
      <c r="E5" s="25">
        <v>1</v>
      </c>
      <c r="F5" s="25">
        <v>3</v>
      </c>
      <c r="G5" s="25">
        <v>0</v>
      </c>
      <c r="H5" s="25"/>
      <c r="I5" s="25"/>
      <c r="J5" s="25"/>
      <c r="K5" s="26">
        <f t="shared" si="0"/>
        <v>6</v>
      </c>
      <c r="L5" s="26">
        <f t="shared" si="1"/>
        <v>2</v>
      </c>
    </row>
    <row r="6" spans="1:12" ht="18" customHeight="1" x14ac:dyDescent="0.25">
      <c r="A6" s="17" t="s">
        <v>38</v>
      </c>
      <c r="B6" s="18" t="s">
        <v>35</v>
      </c>
      <c r="C6" s="19">
        <v>0.1</v>
      </c>
      <c r="D6" s="20">
        <v>3</v>
      </c>
      <c r="E6" s="20">
        <v>2</v>
      </c>
      <c r="F6" s="20">
        <v>3</v>
      </c>
      <c r="G6" s="20">
        <v>2</v>
      </c>
      <c r="H6" s="20"/>
      <c r="I6" s="20"/>
      <c r="J6" s="20"/>
      <c r="K6" s="21">
        <f t="shared" si="0"/>
        <v>10</v>
      </c>
      <c r="L6" s="21">
        <f t="shared" si="1"/>
        <v>2.5</v>
      </c>
    </row>
    <row r="7" spans="1:12" ht="18" customHeight="1" x14ac:dyDescent="0.25">
      <c r="A7" s="22" t="s">
        <v>39</v>
      </c>
      <c r="B7" s="23" t="s">
        <v>35</v>
      </c>
      <c r="C7" s="24">
        <v>0.1</v>
      </c>
      <c r="D7" s="25">
        <v>6</v>
      </c>
      <c r="E7" s="25">
        <v>3</v>
      </c>
      <c r="F7" s="25">
        <v>2</v>
      </c>
      <c r="G7" s="25">
        <v>3</v>
      </c>
      <c r="H7" s="25"/>
      <c r="I7" s="25"/>
      <c r="J7" s="25"/>
      <c r="K7" s="26">
        <f t="shared" si="0"/>
        <v>14</v>
      </c>
      <c r="L7" s="26">
        <f t="shared" si="1"/>
        <v>3.5</v>
      </c>
    </row>
    <row r="8" spans="1:12" ht="18" customHeight="1" x14ac:dyDescent="0.25">
      <c r="A8" s="17" t="s">
        <v>41</v>
      </c>
      <c r="B8" s="18" t="s">
        <v>35</v>
      </c>
      <c r="C8" s="19">
        <v>0.1</v>
      </c>
      <c r="D8" s="90" t="s">
        <v>195</v>
      </c>
      <c r="E8" s="90" t="s">
        <v>195</v>
      </c>
      <c r="F8" s="90" t="s">
        <v>195</v>
      </c>
      <c r="G8" s="20">
        <v>3</v>
      </c>
      <c r="H8" s="20"/>
      <c r="I8" s="20"/>
      <c r="J8" s="20"/>
      <c r="K8" s="21">
        <f t="shared" si="0"/>
        <v>3</v>
      </c>
      <c r="L8" s="21">
        <f t="shared" si="1"/>
        <v>3</v>
      </c>
    </row>
    <row r="9" spans="1:12" ht="18" customHeight="1" x14ac:dyDescent="0.25">
      <c r="A9" s="22" t="s">
        <v>42</v>
      </c>
      <c r="B9" s="23" t="s">
        <v>12</v>
      </c>
      <c r="C9" s="24">
        <v>0.1</v>
      </c>
      <c r="D9" s="25">
        <v>4</v>
      </c>
      <c r="E9" s="91" t="s">
        <v>195</v>
      </c>
      <c r="F9" s="25">
        <v>4</v>
      </c>
      <c r="G9" s="25">
        <v>6</v>
      </c>
      <c r="H9" s="25"/>
      <c r="I9" s="25"/>
      <c r="J9" s="25"/>
      <c r="K9" s="26">
        <f t="shared" si="0"/>
        <v>14</v>
      </c>
      <c r="L9" s="26">
        <f t="shared" si="1"/>
        <v>4.666666666666667</v>
      </c>
    </row>
    <row r="10" spans="1:12" ht="18" customHeight="1" x14ac:dyDescent="0.25">
      <c r="A10" s="17" t="s">
        <v>44</v>
      </c>
      <c r="B10" s="18" t="s">
        <v>45</v>
      </c>
      <c r="C10" s="19">
        <v>0.1</v>
      </c>
      <c r="D10" s="20">
        <v>3</v>
      </c>
      <c r="E10" s="90" t="s">
        <v>195</v>
      </c>
      <c r="F10" s="20">
        <v>0.5</v>
      </c>
      <c r="G10" s="20">
        <v>1</v>
      </c>
      <c r="H10" s="20"/>
      <c r="I10" s="20"/>
      <c r="J10" s="20"/>
      <c r="K10" s="21">
        <f t="shared" si="0"/>
        <v>4.5</v>
      </c>
      <c r="L10" s="21">
        <f t="shared" si="1"/>
        <v>1.5</v>
      </c>
    </row>
    <row r="11" spans="1:12" ht="18" customHeight="1" x14ac:dyDescent="0.25">
      <c r="A11" s="22" t="s">
        <v>47</v>
      </c>
      <c r="B11" s="23" t="s">
        <v>12</v>
      </c>
      <c r="C11" s="24">
        <v>0.1</v>
      </c>
      <c r="D11" s="91" t="s">
        <v>195</v>
      </c>
      <c r="E11" s="91" t="s">
        <v>195</v>
      </c>
      <c r="F11" s="91" t="s">
        <v>195</v>
      </c>
      <c r="G11" s="91" t="s">
        <v>195</v>
      </c>
      <c r="H11" s="25"/>
      <c r="I11" s="25"/>
      <c r="J11" s="25"/>
      <c r="K11" s="26">
        <f t="shared" si="0"/>
        <v>0</v>
      </c>
      <c r="L11" s="26" t="str">
        <f t="shared" si="1"/>
        <v/>
      </c>
    </row>
    <row r="12" spans="1:12" ht="18" customHeight="1" x14ac:dyDescent="0.25">
      <c r="A12" s="17" t="s">
        <v>48</v>
      </c>
      <c r="B12" s="18" t="s">
        <v>22</v>
      </c>
      <c r="C12" s="19">
        <v>0.1</v>
      </c>
      <c r="D12" s="90" t="s">
        <v>195</v>
      </c>
      <c r="E12" s="90" t="s">
        <v>195</v>
      </c>
      <c r="F12" s="90" t="s">
        <v>195</v>
      </c>
      <c r="G12" s="90" t="s">
        <v>195</v>
      </c>
      <c r="H12" s="20"/>
      <c r="I12" s="20"/>
      <c r="J12" s="20"/>
      <c r="K12" s="21">
        <f t="shared" si="0"/>
        <v>0</v>
      </c>
      <c r="L12" s="21" t="str">
        <f t="shared" si="1"/>
        <v/>
      </c>
    </row>
    <row r="13" spans="1:12" ht="18" customHeight="1" x14ac:dyDescent="0.25">
      <c r="A13" s="22" t="s">
        <v>49</v>
      </c>
      <c r="B13" s="23" t="s">
        <v>12</v>
      </c>
      <c r="C13" s="24">
        <v>0.1</v>
      </c>
      <c r="D13" s="25">
        <v>8</v>
      </c>
      <c r="E13" s="25">
        <v>10</v>
      </c>
      <c r="F13" s="25">
        <v>3</v>
      </c>
      <c r="G13" s="25">
        <v>10</v>
      </c>
      <c r="H13" s="25"/>
      <c r="I13" s="25"/>
      <c r="J13" s="25"/>
      <c r="K13" s="26">
        <f t="shared" si="0"/>
        <v>31</v>
      </c>
      <c r="L13" s="26">
        <f t="shared" si="1"/>
        <v>7.75</v>
      </c>
    </row>
    <row r="14" spans="1:12" ht="5.0999999999999996" customHeight="1" x14ac:dyDescent="0.25">
      <c r="A14" s="29"/>
      <c r="B14" s="30"/>
      <c r="C14" s="27"/>
      <c r="D14" s="31"/>
      <c r="E14" s="31"/>
      <c r="F14" s="31"/>
      <c r="G14" s="31"/>
      <c r="H14" s="31"/>
      <c r="I14" s="31"/>
      <c r="J14" s="31"/>
      <c r="K14" s="31"/>
      <c r="L14" s="32"/>
    </row>
  </sheetData>
  <mergeCells count="2">
    <mergeCell ref="A3:L3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4"/>
  <sheetViews>
    <sheetView workbookViewId="0">
      <pane xSplit="3" ySplit="2" topLeftCell="D5" activePane="bottomRight" state="frozen"/>
      <selection pane="topRight"/>
      <selection pane="bottomLeft"/>
      <selection pane="bottomRight" activeCell="D34" sqref="D34"/>
    </sheetView>
  </sheetViews>
  <sheetFormatPr defaultRowHeight="15" x14ac:dyDescent="0.25"/>
  <cols>
    <col min="1" max="1" width="24" customWidth="1"/>
    <col min="2" max="2" width="6" customWidth="1"/>
    <col min="3" max="10" width="9" customWidth="1"/>
    <col min="11" max="11" width="10" customWidth="1"/>
    <col min="12" max="12" width="11" customWidth="1"/>
  </cols>
  <sheetData>
    <row r="1" spans="1:12" ht="32.1" customHeight="1" x14ac:dyDescent="0.25">
      <c r="A1" s="83" t="s">
        <v>160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32.1" customHeight="1" x14ac:dyDescent="0.25">
      <c r="A2" s="9" t="s">
        <v>3</v>
      </c>
      <c r="B2" s="9" t="s">
        <v>4</v>
      </c>
      <c r="C2" s="10" t="s">
        <v>145</v>
      </c>
      <c r="D2" s="9" t="s">
        <v>146</v>
      </c>
      <c r="E2" s="9" t="s">
        <v>147</v>
      </c>
      <c r="F2" s="9" t="s">
        <v>148</v>
      </c>
      <c r="G2" s="9" t="s">
        <v>149</v>
      </c>
      <c r="H2" s="9" t="s">
        <v>150</v>
      </c>
      <c r="I2" s="9" t="s">
        <v>151</v>
      </c>
      <c r="J2" s="9" t="s">
        <v>152</v>
      </c>
      <c r="K2" s="9" t="s">
        <v>153</v>
      </c>
      <c r="L2" s="11" t="s">
        <v>154</v>
      </c>
    </row>
    <row r="3" spans="1:12" ht="20.100000000000001" customHeight="1" x14ac:dyDescent="0.25">
      <c r="A3" s="80" t="s">
        <v>161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1:12" ht="18" customHeight="1" x14ac:dyDescent="0.25">
      <c r="A4" s="17" t="s">
        <v>51</v>
      </c>
      <c r="B4" s="18" t="s">
        <v>52</v>
      </c>
      <c r="C4" s="19">
        <v>0.1</v>
      </c>
      <c r="D4" s="20">
        <v>8</v>
      </c>
      <c r="E4" s="90" t="s">
        <v>195</v>
      </c>
      <c r="F4" s="20">
        <v>2</v>
      </c>
      <c r="G4" s="20">
        <v>3.5</v>
      </c>
      <c r="H4" s="20"/>
      <c r="I4" s="20"/>
      <c r="J4" s="20"/>
      <c r="K4" s="21">
        <f t="shared" ref="K4:K20" si="0">SUM(D4:J4)</f>
        <v>13.5</v>
      </c>
      <c r="L4" s="21">
        <f t="shared" ref="L4:L20" si="1">IFERROR(AVERAGEIF(D4:J4,"&gt;0"),"")</f>
        <v>4.5</v>
      </c>
    </row>
    <row r="5" spans="1:12" ht="18" customHeight="1" x14ac:dyDescent="0.25">
      <c r="A5" s="22" t="s">
        <v>54</v>
      </c>
      <c r="B5" s="23" t="s">
        <v>52</v>
      </c>
      <c r="C5" s="24">
        <v>0.1</v>
      </c>
      <c r="D5" s="25">
        <v>10</v>
      </c>
      <c r="E5" s="91" t="s">
        <v>195</v>
      </c>
      <c r="F5" s="25">
        <v>2.5</v>
      </c>
      <c r="G5" s="91" t="s">
        <v>195</v>
      </c>
      <c r="H5" s="25"/>
      <c r="I5" s="25"/>
      <c r="J5" s="25"/>
      <c r="K5" s="26">
        <f t="shared" si="0"/>
        <v>12.5</v>
      </c>
      <c r="L5" s="26">
        <f t="shared" si="1"/>
        <v>6.25</v>
      </c>
    </row>
    <row r="6" spans="1:12" ht="18" customHeight="1" x14ac:dyDescent="0.25">
      <c r="A6" s="17" t="s">
        <v>56</v>
      </c>
      <c r="B6" s="18" t="s">
        <v>52</v>
      </c>
      <c r="C6" s="19">
        <v>0.1</v>
      </c>
      <c r="D6" s="20">
        <v>2</v>
      </c>
      <c r="E6" s="20">
        <v>4</v>
      </c>
      <c r="F6" s="90" t="s">
        <v>195</v>
      </c>
      <c r="G6" s="20">
        <v>6.5</v>
      </c>
      <c r="H6" s="20"/>
      <c r="I6" s="20"/>
      <c r="J6" s="20"/>
      <c r="K6" s="21">
        <f t="shared" si="0"/>
        <v>12.5</v>
      </c>
      <c r="L6" s="21">
        <f t="shared" si="1"/>
        <v>4.166666666666667</v>
      </c>
    </row>
    <row r="7" spans="1:12" ht="18" customHeight="1" x14ac:dyDescent="0.25">
      <c r="A7" s="22" t="s">
        <v>57</v>
      </c>
      <c r="B7" s="23" t="s">
        <v>52</v>
      </c>
      <c r="C7" s="24">
        <v>0.1</v>
      </c>
      <c r="D7" s="25">
        <v>2</v>
      </c>
      <c r="E7" s="25">
        <v>1.5</v>
      </c>
      <c r="F7" s="91" t="s">
        <v>195</v>
      </c>
      <c r="G7" s="25">
        <v>2</v>
      </c>
      <c r="H7" s="25"/>
      <c r="I7" s="25"/>
      <c r="J7" s="25"/>
      <c r="K7" s="26">
        <f t="shared" si="0"/>
        <v>5.5</v>
      </c>
      <c r="L7" s="26">
        <f t="shared" si="1"/>
        <v>1.8333333333333333</v>
      </c>
    </row>
    <row r="8" spans="1:12" ht="18" customHeight="1" x14ac:dyDescent="0.25">
      <c r="A8" s="17" t="s">
        <v>58</v>
      </c>
      <c r="B8" s="18" t="s">
        <v>52</v>
      </c>
      <c r="C8" s="19">
        <v>0.1</v>
      </c>
      <c r="D8" s="20">
        <v>10</v>
      </c>
      <c r="E8" s="20">
        <v>6.5</v>
      </c>
      <c r="F8" s="20">
        <v>2.5</v>
      </c>
      <c r="G8" s="20">
        <v>5</v>
      </c>
      <c r="H8" s="20"/>
      <c r="I8" s="20"/>
      <c r="J8" s="20"/>
      <c r="K8" s="21">
        <f t="shared" si="0"/>
        <v>24</v>
      </c>
      <c r="L8" s="21">
        <f t="shared" si="1"/>
        <v>6</v>
      </c>
    </row>
    <row r="9" spans="1:12" ht="18" customHeight="1" x14ac:dyDescent="0.25">
      <c r="A9" s="22" t="s">
        <v>60</v>
      </c>
      <c r="B9" s="23" t="s">
        <v>52</v>
      </c>
      <c r="C9" s="24">
        <v>0.1</v>
      </c>
      <c r="D9" s="25">
        <v>2</v>
      </c>
      <c r="E9" s="25">
        <v>3</v>
      </c>
      <c r="F9" s="25">
        <v>1</v>
      </c>
      <c r="G9" s="25">
        <v>2.5</v>
      </c>
      <c r="H9" s="25"/>
      <c r="I9" s="25"/>
      <c r="J9" s="25"/>
      <c r="K9" s="26">
        <f t="shared" si="0"/>
        <v>8.5</v>
      </c>
      <c r="L9" s="26">
        <f t="shared" si="1"/>
        <v>2.125</v>
      </c>
    </row>
    <row r="10" spans="1:12" ht="18" customHeight="1" x14ac:dyDescent="0.25">
      <c r="A10" s="17" t="s">
        <v>62</v>
      </c>
      <c r="B10" s="18" t="s">
        <v>52</v>
      </c>
      <c r="C10" s="19">
        <v>0.1</v>
      </c>
      <c r="D10" s="20">
        <v>2</v>
      </c>
      <c r="E10" s="20">
        <v>3</v>
      </c>
      <c r="F10" s="90" t="s">
        <v>195</v>
      </c>
      <c r="G10" s="20">
        <v>1.5</v>
      </c>
      <c r="H10" s="20"/>
      <c r="I10" s="20"/>
      <c r="J10" s="20"/>
      <c r="K10" s="21">
        <f t="shared" si="0"/>
        <v>6.5</v>
      </c>
      <c r="L10" s="21">
        <f t="shared" si="1"/>
        <v>2.1666666666666665</v>
      </c>
    </row>
    <row r="11" spans="1:12" ht="18" customHeight="1" x14ac:dyDescent="0.25">
      <c r="A11" s="22" t="s">
        <v>63</v>
      </c>
      <c r="B11" s="23" t="s">
        <v>52</v>
      </c>
      <c r="C11" s="24">
        <v>0.1</v>
      </c>
      <c r="D11" s="25">
        <v>3</v>
      </c>
      <c r="E11" s="25">
        <v>0.5</v>
      </c>
      <c r="F11" s="25">
        <v>1.5</v>
      </c>
      <c r="G11" s="25">
        <v>2</v>
      </c>
      <c r="H11" s="25"/>
      <c r="I11" s="25"/>
      <c r="J11" s="25"/>
      <c r="K11" s="26">
        <f t="shared" si="0"/>
        <v>7</v>
      </c>
      <c r="L11" s="26">
        <f t="shared" si="1"/>
        <v>1.75</v>
      </c>
    </row>
    <row r="12" spans="1:12" ht="18" customHeight="1" x14ac:dyDescent="0.25">
      <c r="A12" s="17" t="s">
        <v>64</v>
      </c>
      <c r="B12" s="18" t="s">
        <v>52</v>
      </c>
      <c r="C12" s="19">
        <v>0.1</v>
      </c>
      <c r="D12" s="20">
        <v>3</v>
      </c>
      <c r="E12" s="20">
        <v>4.5</v>
      </c>
      <c r="F12" s="90" t="s">
        <v>195</v>
      </c>
      <c r="G12" s="20">
        <v>3</v>
      </c>
      <c r="H12" s="20"/>
      <c r="I12" s="20"/>
      <c r="J12" s="20"/>
      <c r="K12" s="21">
        <f t="shared" si="0"/>
        <v>10.5</v>
      </c>
      <c r="L12" s="21">
        <f t="shared" si="1"/>
        <v>3.5</v>
      </c>
    </row>
    <row r="13" spans="1:12" ht="18" customHeight="1" x14ac:dyDescent="0.25">
      <c r="A13" s="22" t="s">
        <v>65</v>
      </c>
      <c r="B13" s="23" t="s">
        <v>52</v>
      </c>
      <c r="C13" s="24">
        <v>0.1</v>
      </c>
      <c r="D13" s="25">
        <v>2</v>
      </c>
      <c r="E13" s="25">
        <v>2.5</v>
      </c>
      <c r="F13" s="91" t="s">
        <v>195</v>
      </c>
      <c r="G13" s="25">
        <v>0</v>
      </c>
      <c r="H13" s="25"/>
      <c r="I13" s="25"/>
      <c r="J13" s="25"/>
      <c r="K13" s="26">
        <f t="shared" si="0"/>
        <v>4.5</v>
      </c>
      <c r="L13" s="26">
        <f t="shared" si="1"/>
        <v>2.25</v>
      </c>
    </row>
    <row r="14" spans="1:12" ht="18" customHeight="1" x14ac:dyDescent="0.25">
      <c r="A14" s="17" t="s">
        <v>66</v>
      </c>
      <c r="B14" s="18" t="s">
        <v>52</v>
      </c>
      <c r="C14" s="19">
        <v>0.1</v>
      </c>
      <c r="D14" s="20">
        <v>4</v>
      </c>
      <c r="E14" s="20">
        <v>3</v>
      </c>
      <c r="F14" s="20">
        <v>1</v>
      </c>
      <c r="G14" s="20">
        <v>0.5</v>
      </c>
      <c r="H14" s="20"/>
      <c r="I14" s="20"/>
      <c r="J14" s="20"/>
      <c r="K14" s="21">
        <f t="shared" si="0"/>
        <v>8.5</v>
      </c>
      <c r="L14" s="21">
        <f t="shared" si="1"/>
        <v>2.125</v>
      </c>
    </row>
    <row r="15" spans="1:12" ht="18" customHeight="1" x14ac:dyDescent="0.25">
      <c r="A15" s="22" t="s">
        <v>68</v>
      </c>
      <c r="B15" s="23" t="s">
        <v>52</v>
      </c>
      <c r="C15" s="24">
        <v>0.1</v>
      </c>
      <c r="D15" s="25">
        <v>5</v>
      </c>
      <c r="E15" s="25">
        <v>2.5</v>
      </c>
      <c r="F15" s="91" t="s">
        <v>195</v>
      </c>
      <c r="G15" s="91" t="s">
        <v>195</v>
      </c>
      <c r="H15" s="25"/>
      <c r="I15" s="25"/>
      <c r="J15" s="25"/>
      <c r="K15" s="26">
        <f t="shared" si="0"/>
        <v>7.5</v>
      </c>
      <c r="L15" s="26">
        <f t="shared" si="1"/>
        <v>3.75</v>
      </c>
    </row>
    <row r="16" spans="1:12" ht="18" customHeight="1" x14ac:dyDescent="0.25">
      <c r="A16" s="17" t="s">
        <v>69</v>
      </c>
      <c r="B16" s="18" t="s">
        <v>52</v>
      </c>
      <c r="C16" s="19">
        <v>0.1</v>
      </c>
      <c r="D16" s="20">
        <v>2</v>
      </c>
      <c r="E16" s="20">
        <v>0.5</v>
      </c>
      <c r="F16" s="20">
        <v>1.5</v>
      </c>
      <c r="G16" s="20">
        <v>2</v>
      </c>
      <c r="H16" s="20"/>
      <c r="I16" s="20"/>
      <c r="J16" s="20"/>
      <c r="K16" s="21">
        <f t="shared" si="0"/>
        <v>6</v>
      </c>
      <c r="L16" s="21">
        <f t="shared" si="1"/>
        <v>1.5</v>
      </c>
    </row>
    <row r="17" spans="1:12" ht="18" customHeight="1" x14ac:dyDescent="0.25">
      <c r="A17" s="22" t="s">
        <v>71</v>
      </c>
      <c r="B17" s="23" t="s">
        <v>52</v>
      </c>
      <c r="C17" s="24">
        <v>0.1</v>
      </c>
      <c r="D17" s="25">
        <v>2</v>
      </c>
      <c r="E17" s="25">
        <v>0</v>
      </c>
      <c r="F17" s="25">
        <v>1</v>
      </c>
      <c r="G17" s="25">
        <v>0</v>
      </c>
      <c r="H17" s="25"/>
      <c r="I17" s="25"/>
      <c r="J17" s="25"/>
      <c r="K17" s="26">
        <f t="shared" si="0"/>
        <v>3</v>
      </c>
      <c r="L17" s="26">
        <f t="shared" si="1"/>
        <v>1.5</v>
      </c>
    </row>
    <row r="18" spans="1:12" ht="18" customHeight="1" x14ac:dyDescent="0.25">
      <c r="A18" s="17" t="s">
        <v>72</v>
      </c>
      <c r="B18" s="18" t="s">
        <v>52</v>
      </c>
      <c r="C18" s="19">
        <v>0.1</v>
      </c>
      <c r="D18" s="20">
        <v>2</v>
      </c>
      <c r="E18" s="20">
        <v>3.5</v>
      </c>
      <c r="F18" s="20">
        <v>1</v>
      </c>
      <c r="G18" s="20">
        <v>3</v>
      </c>
      <c r="H18" s="20"/>
      <c r="I18" s="20"/>
      <c r="J18" s="20"/>
      <c r="K18" s="21">
        <f t="shared" si="0"/>
        <v>9.5</v>
      </c>
      <c r="L18" s="21">
        <f t="shared" si="1"/>
        <v>2.375</v>
      </c>
    </row>
    <row r="19" spans="1:12" ht="18" customHeight="1" x14ac:dyDescent="0.25">
      <c r="A19" s="22" t="s">
        <v>73</v>
      </c>
      <c r="B19" s="23" t="s">
        <v>52</v>
      </c>
      <c r="C19" s="24">
        <v>0.1</v>
      </c>
      <c r="D19" s="91" t="s">
        <v>195</v>
      </c>
      <c r="E19" s="91" t="s">
        <v>195</v>
      </c>
      <c r="F19" s="91" t="s">
        <v>195</v>
      </c>
      <c r="G19" s="91" t="s">
        <v>195</v>
      </c>
      <c r="H19" s="25"/>
      <c r="I19" s="25"/>
      <c r="J19" s="25"/>
      <c r="K19" s="26">
        <f t="shared" si="0"/>
        <v>0</v>
      </c>
      <c r="L19" s="26" t="str">
        <f t="shared" si="1"/>
        <v/>
      </c>
    </row>
    <row r="20" spans="1:12" ht="18" customHeight="1" x14ac:dyDescent="0.25">
      <c r="A20" s="17" t="s">
        <v>75</v>
      </c>
      <c r="B20" s="18" t="s">
        <v>52</v>
      </c>
      <c r="C20" s="19">
        <v>0.1</v>
      </c>
      <c r="D20" s="90" t="s">
        <v>195</v>
      </c>
      <c r="E20" s="90" t="s">
        <v>195</v>
      </c>
      <c r="F20" s="90" t="s">
        <v>195</v>
      </c>
      <c r="G20" s="90" t="s">
        <v>195</v>
      </c>
      <c r="H20" s="20"/>
      <c r="I20" s="20"/>
      <c r="J20" s="20"/>
      <c r="K20" s="21">
        <f t="shared" si="0"/>
        <v>0</v>
      </c>
      <c r="L20" s="21" t="str">
        <f t="shared" si="1"/>
        <v/>
      </c>
    </row>
    <row r="21" spans="1:12" ht="5.0999999999999996" customHeight="1" x14ac:dyDescent="0.25">
      <c r="A21" s="33"/>
      <c r="B21" s="34"/>
      <c r="C21" s="28"/>
      <c r="D21" s="35"/>
      <c r="E21" s="35"/>
      <c r="F21" s="35"/>
      <c r="G21" s="35"/>
      <c r="H21" s="35"/>
      <c r="I21" s="35"/>
      <c r="J21" s="35"/>
      <c r="K21" s="35"/>
      <c r="L21" s="36"/>
    </row>
    <row r="22" spans="1:12" ht="20.100000000000001" customHeight="1" x14ac:dyDescent="0.25">
      <c r="A22" s="84" t="s">
        <v>162</v>
      </c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2"/>
    </row>
    <row r="23" spans="1:12" ht="18" customHeight="1" x14ac:dyDescent="0.25">
      <c r="A23" s="22" t="s">
        <v>77</v>
      </c>
      <c r="B23" s="23" t="s">
        <v>78</v>
      </c>
      <c r="C23" s="24">
        <v>0.1</v>
      </c>
      <c r="D23" s="25">
        <v>6</v>
      </c>
      <c r="E23" s="25">
        <v>8</v>
      </c>
      <c r="F23" s="25">
        <v>4</v>
      </c>
      <c r="G23" s="91" t="s">
        <v>195</v>
      </c>
      <c r="H23" s="25"/>
      <c r="I23" s="25"/>
      <c r="J23" s="25"/>
      <c r="K23" s="26">
        <f t="shared" ref="K23:K29" si="2">SUM(D23:J23)</f>
        <v>18</v>
      </c>
      <c r="L23" s="26">
        <f t="shared" ref="L23:L29" si="3">IFERROR(AVERAGEIF(D23:J23,"&gt;0"),"")</f>
        <v>6</v>
      </c>
    </row>
    <row r="24" spans="1:12" ht="18" customHeight="1" x14ac:dyDescent="0.25">
      <c r="A24" s="17" t="s">
        <v>80</v>
      </c>
      <c r="B24" s="18" t="s">
        <v>78</v>
      </c>
      <c r="C24" s="19">
        <v>0.1</v>
      </c>
      <c r="D24" s="20">
        <v>8</v>
      </c>
      <c r="E24" s="20">
        <v>8</v>
      </c>
      <c r="F24" s="90" t="s">
        <v>195</v>
      </c>
      <c r="G24" s="20">
        <v>12</v>
      </c>
      <c r="H24" s="20"/>
      <c r="I24" s="20"/>
      <c r="J24" s="20"/>
      <c r="K24" s="21">
        <f t="shared" si="2"/>
        <v>28</v>
      </c>
      <c r="L24" s="21">
        <f t="shared" si="3"/>
        <v>9.3333333333333339</v>
      </c>
    </row>
    <row r="25" spans="1:12" ht="18" customHeight="1" x14ac:dyDescent="0.25">
      <c r="A25" s="22" t="s">
        <v>82</v>
      </c>
      <c r="B25" s="23" t="s">
        <v>78</v>
      </c>
      <c r="C25" s="24">
        <v>0.1</v>
      </c>
      <c r="D25" s="25">
        <v>10</v>
      </c>
      <c r="E25" s="25">
        <v>5</v>
      </c>
      <c r="F25" s="25">
        <v>6</v>
      </c>
      <c r="G25" s="25">
        <v>6</v>
      </c>
      <c r="H25" s="25"/>
      <c r="I25" s="25"/>
      <c r="J25" s="25"/>
      <c r="K25" s="26">
        <f t="shared" si="2"/>
        <v>27</v>
      </c>
      <c r="L25" s="26">
        <f t="shared" si="3"/>
        <v>6.75</v>
      </c>
    </row>
    <row r="26" spans="1:12" ht="18" customHeight="1" x14ac:dyDescent="0.25">
      <c r="A26" s="17" t="s">
        <v>83</v>
      </c>
      <c r="B26" s="18" t="s">
        <v>78</v>
      </c>
      <c r="C26" s="19">
        <v>0.1</v>
      </c>
      <c r="D26" s="20">
        <v>12</v>
      </c>
      <c r="E26" s="90" t="s">
        <v>195</v>
      </c>
      <c r="F26" s="90" t="s">
        <v>195</v>
      </c>
      <c r="G26" s="20">
        <v>12</v>
      </c>
      <c r="H26" s="20"/>
      <c r="I26" s="20"/>
      <c r="J26" s="20"/>
      <c r="K26" s="21">
        <f t="shared" si="2"/>
        <v>24</v>
      </c>
      <c r="L26" s="21">
        <f t="shared" si="3"/>
        <v>12</v>
      </c>
    </row>
    <row r="27" spans="1:12" ht="18" customHeight="1" x14ac:dyDescent="0.25">
      <c r="A27" s="22" t="s">
        <v>84</v>
      </c>
      <c r="B27" s="23" t="s">
        <v>78</v>
      </c>
      <c r="C27" s="24">
        <v>0.1</v>
      </c>
      <c r="D27" s="91" t="s">
        <v>195</v>
      </c>
      <c r="E27" s="25">
        <v>6</v>
      </c>
      <c r="F27" s="25">
        <v>6</v>
      </c>
      <c r="G27" s="25">
        <v>10</v>
      </c>
      <c r="H27" s="25"/>
      <c r="I27" s="25"/>
      <c r="J27" s="25"/>
      <c r="K27" s="26">
        <f t="shared" si="2"/>
        <v>22</v>
      </c>
      <c r="L27" s="26">
        <f t="shared" si="3"/>
        <v>7.333333333333333</v>
      </c>
    </row>
    <row r="28" spans="1:12" ht="18" customHeight="1" x14ac:dyDescent="0.25">
      <c r="A28" s="17" t="s">
        <v>85</v>
      </c>
      <c r="B28" s="18" t="s">
        <v>78</v>
      </c>
      <c r="C28" s="19">
        <v>0.1</v>
      </c>
      <c r="D28" s="90" t="s">
        <v>195</v>
      </c>
      <c r="E28" s="90" t="s">
        <v>195</v>
      </c>
      <c r="F28" s="20">
        <v>4</v>
      </c>
      <c r="G28" s="90" t="s">
        <v>195</v>
      </c>
      <c r="H28" s="20"/>
      <c r="I28" s="20"/>
      <c r="J28" s="20"/>
      <c r="K28" s="21">
        <f t="shared" si="2"/>
        <v>4</v>
      </c>
      <c r="L28" s="21">
        <f t="shared" si="3"/>
        <v>4</v>
      </c>
    </row>
    <row r="29" spans="1:12" ht="18" customHeight="1" x14ac:dyDescent="0.25">
      <c r="A29" s="22" t="s">
        <v>87</v>
      </c>
      <c r="B29" s="23" t="s">
        <v>78</v>
      </c>
      <c r="C29" s="24">
        <v>0.1</v>
      </c>
      <c r="D29" s="91" t="s">
        <v>195</v>
      </c>
      <c r="E29" s="91" t="s">
        <v>195</v>
      </c>
      <c r="F29" s="91" t="s">
        <v>195</v>
      </c>
      <c r="G29" s="91" t="s">
        <v>195</v>
      </c>
      <c r="H29" s="25"/>
      <c r="I29" s="25"/>
      <c r="J29" s="25"/>
      <c r="K29" s="26">
        <f t="shared" si="2"/>
        <v>0</v>
      </c>
      <c r="L29" s="26" t="str">
        <f t="shared" si="3"/>
        <v/>
      </c>
    </row>
    <row r="30" spans="1:12" ht="5.0999999999999996" customHeight="1" x14ac:dyDescent="0.25">
      <c r="A30" s="29"/>
      <c r="B30" s="30"/>
      <c r="C30" s="27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20.100000000000001" customHeight="1" x14ac:dyDescent="0.25">
      <c r="A31" s="80" t="s">
        <v>163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2"/>
    </row>
    <row r="32" spans="1:12" ht="18" customHeight="1" x14ac:dyDescent="0.25">
      <c r="A32" s="17" t="s">
        <v>89</v>
      </c>
      <c r="B32" s="18" t="s">
        <v>22</v>
      </c>
      <c r="C32" s="19">
        <v>0.1</v>
      </c>
      <c r="D32" s="20">
        <v>2</v>
      </c>
      <c r="E32" s="90" t="s">
        <v>195</v>
      </c>
      <c r="F32" s="90" t="s">
        <v>195</v>
      </c>
      <c r="G32" s="20">
        <v>4.5</v>
      </c>
      <c r="H32" s="20"/>
      <c r="I32" s="20"/>
      <c r="J32" s="20"/>
      <c r="K32" s="21">
        <f>SUM(D32:J32)</f>
        <v>6.5</v>
      </c>
      <c r="L32" s="21">
        <f>IFERROR(AVERAGEIF(D32:J32,"&gt;0"),"")</f>
        <v>3.25</v>
      </c>
    </row>
    <row r="33" spans="1:12" ht="18" customHeight="1" x14ac:dyDescent="0.25">
      <c r="A33" s="22" t="s">
        <v>90</v>
      </c>
      <c r="B33" s="23" t="s">
        <v>22</v>
      </c>
      <c r="C33" s="24">
        <v>0.1</v>
      </c>
      <c r="D33" s="25">
        <v>2</v>
      </c>
      <c r="E33" s="91" t="s">
        <v>195</v>
      </c>
      <c r="F33" s="91" t="s">
        <v>195</v>
      </c>
      <c r="G33" s="25">
        <v>0</v>
      </c>
      <c r="H33" s="25"/>
      <c r="I33" s="25"/>
      <c r="J33" s="25"/>
      <c r="K33" s="26">
        <f>SUM(D33:J33)</f>
        <v>2</v>
      </c>
      <c r="L33" s="26">
        <f>IFERROR(AVERAGEIF(D33:J33,"&gt;0"),"")</f>
        <v>2</v>
      </c>
    </row>
    <row r="34" spans="1:12" ht="5.0999999999999996" customHeight="1" x14ac:dyDescent="0.25">
      <c r="A34" s="29"/>
      <c r="B34" s="30"/>
      <c r="C34" s="27"/>
      <c r="D34" s="31"/>
      <c r="E34" s="31"/>
      <c r="F34" s="31"/>
      <c r="G34" s="31"/>
      <c r="H34" s="31"/>
      <c r="I34" s="31"/>
      <c r="J34" s="31"/>
      <c r="K34" s="31"/>
      <c r="L34" s="32"/>
    </row>
  </sheetData>
  <mergeCells count="4">
    <mergeCell ref="A3:L3"/>
    <mergeCell ref="A22:L22"/>
    <mergeCell ref="A1:L1"/>
    <mergeCell ref="A31:L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workbookViewId="0">
      <pane xSplit="3" ySplit="2" topLeftCell="D5" activePane="bottomRight" state="frozen"/>
      <selection pane="topRight"/>
      <selection pane="bottomLeft"/>
      <selection pane="bottomRight" activeCell="G31" sqref="G31"/>
    </sheetView>
  </sheetViews>
  <sheetFormatPr defaultRowHeight="15" x14ac:dyDescent="0.25"/>
  <cols>
    <col min="1" max="1" width="24" customWidth="1"/>
    <col min="2" max="2" width="6" customWidth="1"/>
    <col min="3" max="10" width="9" customWidth="1"/>
    <col min="11" max="11" width="10" customWidth="1"/>
    <col min="12" max="12" width="11" customWidth="1"/>
  </cols>
  <sheetData>
    <row r="1" spans="1:12" ht="32.1" customHeight="1" x14ac:dyDescent="0.25">
      <c r="A1" s="83" t="s">
        <v>164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</row>
    <row r="2" spans="1:12" ht="32.1" customHeight="1" x14ac:dyDescent="0.25">
      <c r="A2" s="9" t="s">
        <v>3</v>
      </c>
      <c r="B2" s="9" t="s">
        <v>4</v>
      </c>
      <c r="C2" s="10" t="s">
        <v>145</v>
      </c>
      <c r="D2" s="9" t="s">
        <v>146</v>
      </c>
      <c r="E2" s="9" t="s">
        <v>147</v>
      </c>
      <c r="F2" s="9" t="s">
        <v>148</v>
      </c>
      <c r="G2" s="9" t="s">
        <v>149</v>
      </c>
      <c r="H2" s="9" t="s">
        <v>150</v>
      </c>
      <c r="I2" s="9" t="s">
        <v>151</v>
      </c>
      <c r="J2" s="9" t="s">
        <v>152</v>
      </c>
      <c r="K2" s="9" t="s">
        <v>153</v>
      </c>
      <c r="L2" s="11" t="s">
        <v>154</v>
      </c>
    </row>
    <row r="3" spans="1:12" ht="20.100000000000001" customHeight="1" x14ac:dyDescent="0.25">
      <c r="A3" s="80" t="s">
        <v>165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1:12" ht="18" customHeight="1" x14ac:dyDescent="0.25">
      <c r="A4" s="17" t="s">
        <v>92</v>
      </c>
      <c r="B4" s="18" t="s">
        <v>22</v>
      </c>
      <c r="C4" s="19">
        <v>0.1</v>
      </c>
      <c r="D4" s="20">
        <v>10</v>
      </c>
      <c r="E4" s="20">
        <v>2.5</v>
      </c>
      <c r="F4" s="90" t="s">
        <v>195</v>
      </c>
      <c r="G4" s="20">
        <v>3</v>
      </c>
      <c r="H4" s="20"/>
      <c r="I4" s="20"/>
      <c r="J4" s="20"/>
      <c r="K4" s="21">
        <f t="shared" ref="K4:K11" si="0">SUM(D4:J4)</f>
        <v>15.5</v>
      </c>
      <c r="L4" s="21">
        <f t="shared" ref="L4:L11" si="1">IFERROR(AVERAGEIF(D4:J4,"&gt;0"),"")</f>
        <v>5.166666666666667</v>
      </c>
    </row>
    <row r="5" spans="1:12" ht="18" customHeight="1" x14ac:dyDescent="0.25">
      <c r="A5" s="22" t="s">
        <v>94</v>
      </c>
      <c r="B5" s="23" t="s">
        <v>22</v>
      </c>
      <c r="C5" s="24">
        <v>0.1</v>
      </c>
      <c r="D5" s="25">
        <v>3</v>
      </c>
      <c r="E5" s="91" t="s">
        <v>195</v>
      </c>
      <c r="F5" s="91" t="s">
        <v>195</v>
      </c>
      <c r="G5" s="25">
        <v>2.5</v>
      </c>
      <c r="H5" s="25"/>
      <c r="I5" s="25"/>
      <c r="J5" s="25"/>
      <c r="K5" s="26">
        <f t="shared" si="0"/>
        <v>5.5</v>
      </c>
      <c r="L5" s="26">
        <f t="shared" si="1"/>
        <v>2.75</v>
      </c>
    </row>
    <row r="6" spans="1:12" ht="18" customHeight="1" x14ac:dyDescent="0.25">
      <c r="A6" s="17" t="s">
        <v>96</v>
      </c>
      <c r="B6" s="18" t="s">
        <v>22</v>
      </c>
      <c r="C6" s="19">
        <v>0.1</v>
      </c>
      <c r="D6" s="20">
        <v>2</v>
      </c>
      <c r="E6" s="20">
        <v>1.5</v>
      </c>
      <c r="F6" s="90" t="s">
        <v>195</v>
      </c>
      <c r="G6" s="20">
        <v>3</v>
      </c>
      <c r="H6" s="20"/>
      <c r="I6" s="20"/>
      <c r="J6" s="20"/>
      <c r="K6" s="21">
        <f t="shared" si="0"/>
        <v>6.5</v>
      </c>
      <c r="L6" s="21">
        <f t="shared" si="1"/>
        <v>2.1666666666666665</v>
      </c>
    </row>
    <row r="7" spans="1:12" ht="18" customHeight="1" x14ac:dyDescent="0.25">
      <c r="A7" s="22" t="s">
        <v>98</v>
      </c>
      <c r="B7" s="23" t="s">
        <v>22</v>
      </c>
      <c r="C7" s="24">
        <v>0.1</v>
      </c>
      <c r="D7" s="25">
        <v>3</v>
      </c>
      <c r="E7" s="25">
        <v>2</v>
      </c>
      <c r="F7" s="25">
        <v>0.5</v>
      </c>
      <c r="G7" s="25">
        <v>3</v>
      </c>
      <c r="H7" s="25"/>
      <c r="I7" s="25"/>
      <c r="J7" s="25"/>
      <c r="K7" s="26">
        <f t="shared" si="0"/>
        <v>8.5</v>
      </c>
      <c r="L7" s="26">
        <f t="shared" si="1"/>
        <v>2.125</v>
      </c>
    </row>
    <row r="8" spans="1:12" ht="18" customHeight="1" x14ac:dyDescent="0.25">
      <c r="A8" s="17" t="s">
        <v>99</v>
      </c>
      <c r="B8" s="18" t="s">
        <v>22</v>
      </c>
      <c r="C8" s="19">
        <v>0.1</v>
      </c>
      <c r="D8" s="20">
        <v>2</v>
      </c>
      <c r="E8" s="20">
        <v>0.5</v>
      </c>
      <c r="F8" s="90" t="s">
        <v>195</v>
      </c>
      <c r="G8" s="20">
        <v>3</v>
      </c>
      <c r="H8" s="20"/>
      <c r="I8" s="20"/>
      <c r="J8" s="20"/>
      <c r="K8" s="21">
        <f t="shared" si="0"/>
        <v>5.5</v>
      </c>
      <c r="L8" s="21">
        <f t="shared" si="1"/>
        <v>1.8333333333333333</v>
      </c>
    </row>
    <row r="9" spans="1:12" ht="18" customHeight="1" x14ac:dyDescent="0.25">
      <c r="A9" s="22" t="s">
        <v>101</v>
      </c>
      <c r="B9" s="23" t="s">
        <v>22</v>
      </c>
      <c r="C9" s="24">
        <v>0.1</v>
      </c>
      <c r="D9" s="91" t="s">
        <v>195</v>
      </c>
      <c r="E9" s="91" t="s">
        <v>195</v>
      </c>
      <c r="F9" s="91" t="s">
        <v>195</v>
      </c>
      <c r="G9" s="91" t="s">
        <v>195</v>
      </c>
      <c r="H9" s="25"/>
      <c r="I9" s="25"/>
      <c r="J9" s="25"/>
      <c r="K9" s="26">
        <f t="shared" si="0"/>
        <v>0</v>
      </c>
      <c r="L9" s="26" t="str">
        <f t="shared" si="1"/>
        <v/>
      </c>
    </row>
    <row r="10" spans="1:12" ht="18" customHeight="1" x14ac:dyDescent="0.25">
      <c r="A10" s="17" t="s">
        <v>102</v>
      </c>
      <c r="B10" s="18" t="s">
        <v>22</v>
      </c>
      <c r="C10" s="19">
        <v>0.1</v>
      </c>
      <c r="D10" s="90" t="s">
        <v>195</v>
      </c>
      <c r="E10" s="90" t="s">
        <v>195</v>
      </c>
      <c r="F10" s="90" t="s">
        <v>195</v>
      </c>
      <c r="G10" s="90" t="s">
        <v>195</v>
      </c>
      <c r="H10" s="20"/>
      <c r="I10" s="20"/>
      <c r="J10" s="20"/>
      <c r="K10" s="21">
        <f t="shared" si="0"/>
        <v>0</v>
      </c>
      <c r="L10" s="21" t="str">
        <f t="shared" si="1"/>
        <v/>
      </c>
    </row>
    <row r="11" spans="1:12" ht="18" customHeight="1" x14ac:dyDescent="0.25">
      <c r="A11" s="22" t="s">
        <v>103</v>
      </c>
      <c r="B11" s="23" t="s">
        <v>22</v>
      </c>
      <c r="C11" s="24">
        <v>0.1</v>
      </c>
      <c r="D11" s="91" t="s">
        <v>195</v>
      </c>
      <c r="E11" s="91" t="s">
        <v>195</v>
      </c>
      <c r="F11" s="91" t="s">
        <v>195</v>
      </c>
      <c r="G11" s="91" t="s">
        <v>195</v>
      </c>
      <c r="H11" s="25"/>
      <c r="I11" s="25"/>
      <c r="J11" s="25"/>
      <c r="K11" s="26">
        <f t="shared" si="0"/>
        <v>0</v>
      </c>
      <c r="L11" s="26" t="str">
        <f t="shared" si="1"/>
        <v/>
      </c>
    </row>
    <row r="12" spans="1:12" ht="5.0999999999999996" customHeight="1" x14ac:dyDescent="0.25">
      <c r="A12" s="29"/>
      <c r="B12" s="30"/>
      <c r="C12" s="27"/>
      <c r="D12" s="31"/>
      <c r="E12" s="31"/>
      <c r="F12" s="31"/>
      <c r="G12" s="31"/>
      <c r="H12" s="31"/>
      <c r="I12" s="31"/>
      <c r="J12" s="31"/>
      <c r="K12" s="31"/>
      <c r="L12" s="32"/>
    </row>
    <row r="13" spans="1:12" ht="20.100000000000001" customHeight="1" x14ac:dyDescent="0.25">
      <c r="A13" s="80" t="s">
        <v>166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2"/>
    </row>
    <row r="14" spans="1:12" ht="18" customHeight="1" x14ac:dyDescent="0.25">
      <c r="A14" s="17" t="s">
        <v>104</v>
      </c>
      <c r="B14" s="18" t="s">
        <v>22</v>
      </c>
      <c r="C14" s="19">
        <v>0.1</v>
      </c>
      <c r="D14" s="90" t="s">
        <v>195</v>
      </c>
      <c r="E14" s="20">
        <v>0.5</v>
      </c>
      <c r="F14" s="20">
        <v>1</v>
      </c>
      <c r="G14" s="20">
        <v>2.5</v>
      </c>
      <c r="H14" s="20"/>
      <c r="I14" s="20"/>
      <c r="J14" s="20"/>
      <c r="K14" s="21">
        <f>SUM(D14:J14)</f>
        <v>4</v>
      </c>
      <c r="L14" s="21">
        <f>IFERROR(AVERAGEIF(D14:J14,"&gt;0"),"")</f>
        <v>1.3333333333333333</v>
      </c>
    </row>
    <row r="15" spans="1:12" ht="18" customHeight="1" x14ac:dyDescent="0.25">
      <c r="A15" s="22" t="s">
        <v>106</v>
      </c>
      <c r="B15" s="23" t="s">
        <v>22</v>
      </c>
      <c r="C15" s="24">
        <v>0.1</v>
      </c>
      <c r="D15" s="91" t="s">
        <v>195</v>
      </c>
      <c r="E15" s="25">
        <v>3.5</v>
      </c>
      <c r="F15" s="25">
        <v>1</v>
      </c>
      <c r="G15" s="25">
        <v>1.5</v>
      </c>
      <c r="H15" s="25"/>
      <c r="I15" s="25"/>
      <c r="J15" s="25"/>
      <c r="K15" s="26">
        <f>SUM(D15:J15)</f>
        <v>6</v>
      </c>
      <c r="L15" s="26">
        <f>IFERROR(AVERAGEIF(D15:J15,"&gt;0"),"")</f>
        <v>2</v>
      </c>
    </row>
    <row r="16" spans="1:12" ht="18" customHeight="1" x14ac:dyDescent="0.25">
      <c r="A16" s="17" t="s">
        <v>108</v>
      </c>
      <c r="B16" s="18" t="s">
        <v>22</v>
      </c>
      <c r="C16" s="19">
        <v>0.1</v>
      </c>
      <c r="D16" s="20">
        <v>3</v>
      </c>
      <c r="E16" s="20">
        <v>2.5</v>
      </c>
      <c r="F16" s="20">
        <v>1</v>
      </c>
      <c r="G16" s="20">
        <v>3</v>
      </c>
      <c r="H16" s="20"/>
      <c r="I16" s="20"/>
      <c r="J16" s="20"/>
      <c r="K16" s="21">
        <f>SUM(D16:J16)</f>
        <v>9.5</v>
      </c>
      <c r="L16" s="21">
        <f>IFERROR(AVERAGEIF(D16:J16,"&gt;0"),"")</f>
        <v>2.375</v>
      </c>
    </row>
    <row r="17" spans="1:12" ht="18" customHeight="1" x14ac:dyDescent="0.25">
      <c r="A17" s="22" t="s">
        <v>110</v>
      </c>
      <c r="B17" s="23" t="s">
        <v>22</v>
      </c>
      <c r="C17" s="24">
        <v>0.1</v>
      </c>
      <c r="D17" s="25">
        <v>4</v>
      </c>
      <c r="E17" s="25">
        <v>5</v>
      </c>
      <c r="F17" s="25">
        <v>1.5</v>
      </c>
      <c r="G17" s="25">
        <v>2.5</v>
      </c>
      <c r="H17" s="25"/>
      <c r="I17" s="25"/>
      <c r="J17" s="25"/>
      <c r="K17" s="26">
        <f>SUM(D17:J17)</f>
        <v>13</v>
      </c>
      <c r="L17" s="26">
        <f>IFERROR(AVERAGEIF(D17:J17,"&gt;0"),"")</f>
        <v>3.25</v>
      </c>
    </row>
    <row r="18" spans="1:12" ht="5.0999999999999996" customHeight="1" x14ac:dyDescent="0.25">
      <c r="A18" s="29"/>
      <c r="B18" s="30"/>
      <c r="C18" s="27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20.100000000000001" customHeight="1" x14ac:dyDescent="0.25">
      <c r="A19" s="80" t="s">
        <v>167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2"/>
    </row>
    <row r="20" spans="1:12" ht="18" customHeight="1" x14ac:dyDescent="0.25">
      <c r="A20" s="17" t="s">
        <v>112</v>
      </c>
      <c r="B20" s="18" t="s">
        <v>22</v>
      </c>
      <c r="C20" s="19">
        <v>0.1</v>
      </c>
      <c r="D20" s="90" t="s">
        <v>195</v>
      </c>
      <c r="E20" s="90" t="s">
        <v>195</v>
      </c>
      <c r="F20" s="90" t="s">
        <v>195</v>
      </c>
      <c r="G20" s="90" t="s">
        <v>195</v>
      </c>
      <c r="H20" s="20"/>
      <c r="I20" s="20"/>
      <c r="J20" s="20"/>
      <c r="K20" s="21">
        <f t="shared" ref="K20:K30" si="2">SUM(D20:J20)</f>
        <v>0</v>
      </c>
      <c r="L20" s="21" t="str">
        <f t="shared" ref="L20:L30" si="3">IFERROR(AVERAGEIF(D20:J20,"&gt;0"),"")</f>
        <v/>
      </c>
    </row>
    <row r="21" spans="1:12" ht="18" customHeight="1" x14ac:dyDescent="0.25">
      <c r="A21" s="22" t="s">
        <v>114</v>
      </c>
      <c r="B21" s="23" t="s">
        <v>22</v>
      </c>
      <c r="C21" s="24">
        <v>0.1</v>
      </c>
      <c r="D21" s="91" t="s">
        <v>195</v>
      </c>
      <c r="E21" s="91" t="s">
        <v>195</v>
      </c>
      <c r="F21" s="91" t="s">
        <v>195</v>
      </c>
      <c r="G21" s="91" t="s">
        <v>195</v>
      </c>
      <c r="H21" s="25"/>
      <c r="I21" s="25"/>
      <c r="J21" s="25"/>
      <c r="K21" s="26">
        <f t="shared" si="2"/>
        <v>0</v>
      </c>
      <c r="L21" s="26" t="str">
        <f t="shared" si="3"/>
        <v/>
      </c>
    </row>
    <row r="22" spans="1:12" ht="18" customHeight="1" x14ac:dyDescent="0.25">
      <c r="A22" s="17" t="s">
        <v>115</v>
      </c>
      <c r="B22" s="18" t="s">
        <v>22</v>
      </c>
      <c r="C22" s="19">
        <v>0.1</v>
      </c>
      <c r="D22" s="90" t="s">
        <v>195</v>
      </c>
      <c r="E22" s="90" t="s">
        <v>195</v>
      </c>
      <c r="F22" s="90" t="s">
        <v>195</v>
      </c>
      <c r="G22" s="90" t="s">
        <v>195</v>
      </c>
      <c r="H22" s="20"/>
      <c r="I22" s="20"/>
      <c r="J22" s="20"/>
      <c r="K22" s="21">
        <f t="shared" si="2"/>
        <v>0</v>
      </c>
      <c r="L22" s="21" t="str">
        <f t="shared" si="3"/>
        <v/>
      </c>
    </row>
    <row r="23" spans="1:12" ht="18" customHeight="1" x14ac:dyDescent="0.25">
      <c r="A23" s="22" t="s">
        <v>117</v>
      </c>
      <c r="B23" s="23" t="s">
        <v>22</v>
      </c>
      <c r="C23" s="24">
        <v>0.1</v>
      </c>
      <c r="D23" s="25">
        <v>4</v>
      </c>
      <c r="E23" s="91" t="s">
        <v>195</v>
      </c>
      <c r="F23" s="91" t="s">
        <v>195</v>
      </c>
      <c r="G23" s="91" t="s">
        <v>195</v>
      </c>
      <c r="H23" s="25"/>
      <c r="I23" s="25"/>
      <c r="J23" s="25"/>
      <c r="K23" s="26">
        <f t="shared" si="2"/>
        <v>4</v>
      </c>
      <c r="L23" s="26">
        <f t="shared" si="3"/>
        <v>4</v>
      </c>
    </row>
    <row r="24" spans="1:12" ht="18" customHeight="1" x14ac:dyDescent="0.25">
      <c r="A24" s="17" t="s">
        <v>118</v>
      </c>
      <c r="B24" s="18" t="s">
        <v>22</v>
      </c>
      <c r="C24" s="19">
        <v>0.1</v>
      </c>
      <c r="D24" s="20">
        <v>2</v>
      </c>
      <c r="E24" s="20">
        <v>3</v>
      </c>
      <c r="F24" s="90" t="s">
        <v>195</v>
      </c>
      <c r="G24" s="20">
        <v>4</v>
      </c>
      <c r="H24" s="20"/>
      <c r="I24" s="20"/>
      <c r="J24" s="20"/>
      <c r="K24" s="21">
        <f t="shared" si="2"/>
        <v>9</v>
      </c>
      <c r="L24" s="21">
        <f t="shared" si="3"/>
        <v>3</v>
      </c>
    </row>
    <row r="25" spans="1:12" ht="18" customHeight="1" x14ac:dyDescent="0.25">
      <c r="A25" s="22" t="s">
        <v>119</v>
      </c>
      <c r="B25" s="23" t="s">
        <v>22</v>
      </c>
      <c r="C25" s="24">
        <v>0.1</v>
      </c>
      <c r="D25" s="91" t="s">
        <v>195</v>
      </c>
      <c r="E25" s="91" t="s">
        <v>195</v>
      </c>
      <c r="F25" s="91" t="s">
        <v>195</v>
      </c>
      <c r="G25" s="91" t="s">
        <v>195</v>
      </c>
      <c r="H25" s="25"/>
      <c r="I25" s="25"/>
      <c r="J25" s="25"/>
      <c r="K25" s="26">
        <f t="shared" si="2"/>
        <v>0</v>
      </c>
      <c r="L25" s="26" t="str">
        <f t="shared" si="3"/>
        <v/>
      </c>
    </row>
    <row r="26" spans="1:12" ht="18" customHeight="1" x14ac:dyDescent="0.25">
      <c r="A26" s="17" t="s">
        <v>121</v>
      </c>
      <c r="B26" s="18" t="s">
        <v>22</v>
      </c>
      <c r="C26" s="19">
        <v>0.1</v>
      </c>
      <c r="D26" s="90" t="s">
        <v>195</v>
      </c>
      <c r="E26" s="90" t="s">
        <v>195</v>
      </c>
      <c r="F26" s="90" t="s">
        <v>195</v>
      </c>
      <c r="G26" s="90" t="s">
        <v>195</v>
      </c>
      <c r="H26" s="20"/>
      <c r="I26" s="20"/>
      <c r="J26" s="20"/>
      <c r="K26" s="21">
        <f t="shared" si="2"/>
        <v>0</v>
      </c>
      <c r="L26" s="21" t="str">
        <f t="shared" si="3"/>
        <v/>
      </c>
    </row>
    <row r="27" spans="1:12" ht="18" customHeight="1" x14ac:dyDescent="0.25">
      <c r="A27" s="22" t="s">
        <v>123</v>
      </c>
      <c r="B27" s="23" t="s">
        <v>12</v>
      </c>
      <c r="C27" s="24">
        <v>0.1</v>
      </c>
      <c r="D27" s="25">
        <v>2</v>
      </c>
      <c r="E27" s="91" t="s">
        <v>195</v>
      </c>
      <c r="F27" s="91" t="s">
        <v>195</v>
      </c>
      <c r="G27" s="91" t="s">
        <v>195</v>
      </c>
      <c r="H27" s="25"/>
      <c r="I27" s="25"/>
      <c r="J27" s="25"/>
      <c r="K27" s="26">
        <f t="shared" si="2"/>
        <v>2</v>
      </c>
      <c r="L27" s="26">
        <f t="shared" si="3"/>
        <v>2</v>
      </c>
    </row>
    <row r="28" spans="1:12" ht="18" customHeight="1" x14ac:dyDescent="0.25">
      <c r="A28" s="17" t="s">
        <v>125</v>
      </c>
      <c r="B28" s="18" t="s">
        <v>22</v>
      </c>
      <c r="C28" s="19">
        <v>0.1</v>
      </c>
      <c r="D28" s="90" t="s">
        <v>195</v>
      </c>
      <c r="E28" s="90" t="s">
        <v>195</v>
      </c>
      <c r="F28" s="90" t="s">
        <v>195</v>
      </c>
      <c r="G28" s="90" t="s">
        <v>195</v>
      </c>
      <c r="H28" s="20"/>
      <c r="I28" s="20"/>
      <c r="J28" s="20"/>
      <c r="K28" s="21">
        <f t="shared" si="2"/>
        <v>0</v>
      </c>
      <c r="L28" s="21" t="str">
        <f t="shared" si="3"/>
        <v/>
      </c>
    </row>
    <row r="29" spans="1:12" ht="18" customHeight="1" x14ac:dyDescent="0.25">
      <c r="A29" s="22" t="s">
        <v>126</v>
      </c>
      <c r="B29" s="23" t="s">
        <v>22</v>
      </c>
      <c r="C29" s="24">
        <v>0.1</v>
      </c>
      <c r="D29" s="91" t="s">
        <v>195</v>
      </c>
      <c r="E29" s="91" t="s">
        <v>195</v>
      </c>
      <c r="F29" s="91" t="s">
        <v>195</v>
      </c>
      <c r="G29" s="91" t="s">
        <v>195</v>
      </c>
      <c r="H29" s="25"/>
      <c r="I29" s="25"/>
      <c r="J29" s="25"/>
      <c r="K29" s="26">
        <f t="shared" si="2"/>
        <v>0</v>
      </c>
      <c r="L29" s="26" t="str">
        <f t="shared" si="3"/>
        <v/>
      </c>
    </row>
    <row r="30" spans="1:12" ht="18" customHeight="1" x14ac:dyDescent="0.25">
      <c r="A30" s="17" t="s">
        <v>127</v>
      </c>
      <c r="B30" s="18" t="s">
        <v>22</v>
      </c>
      <c r="C30" s="19">
        <v>0.1</v>
      </c>
      <c r="D30" s="90" t="s">
        <v>195</v>
      </c>
      <c r="E30" s="90" t="s">
        <v>195</v>
      </c>
      <c r="F30" s="90" t="s">
        <v>195</v>
      </c>
      <c r="G30" s="90" t="s">
        <v>195</v>
      </c>
      <c r="H30" s="20"/>
      <c r="I30" s="20"/>
      <c r="J30" s="20"/>
      <c r="K30" s="21">
        <f t="shared" si="2"/>
        <v>0</v>
      </c>
      <c r="L30" s="21" t="str">
        <f t="shared" si="3"/>
        <v/>
      </c>
    </row>
    <row r="31" spans="1:12" ht="5.0999999999999996" customHeight="1" x14ac:dyDescent="0.25">
      <c r="A31" s="33"/>
      <c r="B31" s="34"/>
      <c r="C31" s="28"/>
      <c r="D31" s="35"/>
      <c r="E31" s="35"/>
      <c r="F31" s="35"/>
      <c r="G31" s="35"/>
      <c r="H31" s="35"/>
      <c r="I31" s="35"/>
      <c r="J31" s="35"/>
      <c r="K31" s="35"/>
      <c r="L31" s="36"/>
    </row>
  </sheetData>
  <mergeCells count="4">
    <mergeCell ref="A13:L13"/>
    <mergeCell ref="A3:L3"/>
    <mergeCell ref="A19:L19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C6D2-9559-4E3A-B16D-3339C12EE606}">
  <dimension ref="A1:J103"/>
  <sheetViews>
    <sheetView workbookViewId="0">
      <selection activeCell="M21" sqref="M21"/>
    </sheetView>
  </sheetViews>
  <sheetFormatPr defaultRowHeight="15" x14ac:dyDescent="0.25"/>
  <cols>
    <col min="1" max="1" width="22" customWidth="1"/>
    <col min="2" max="2" width="8" customWidth="1"/>
    <col min="3" max="3" width="11.140625" customWidth="1"/>
    <col min="4" max="4" width="10" customWidth="1"/>
    <col min="5" max="5" width="10.7109375" customWidth="1"/>
    <col min="6" max="10" width="10" customWidth="1"/>
  </cols>
  <sheetData>
    <row r="1" spans="1:10" ht="24.95" customHeight="1" x14ac:dyDescent="0.25">
      <c r="A1" s="88" t="s">
        <v>194</v>
      </c>
      <c r="B1" s="73"/>
      <c r="C1" s="73"/>
      <c r="D1" s="73"/>
      <c r="E1" s="73"/>
      <c r="F1" s="73"/>
      <c r="G1" s="73"/>
      <c r="H1" s="73"/>
      <c r="I1" s="73"/>
      <c r="J1" s="73"/>
    </row>
    <row r="2" spans="1:10" ht="26.25" customHeight="1" x14ac:dyDescent="0.25">
      <c r="A2" s="66" t="s">
        <v>193</v>
      </c>
      <c r="B2" s="66" t="s">
        <v>4</v>
      </c>
      <c r="C2" s="89">
        <v>46104</v>
      </c>
      <c r="D2" s="89">
        <f>C2+1</f>
        <v>46105</v>
      </c>
      <c r="E2" s="89">
        <f t="shared" ref="E2:I2" si="0">D2+1</f>
        <v>46106</v>
      </c>
      <c r="F2" s="89">
        <f t="shared" si="0"/>
        <v>46107</v>
      </c>
      <c r="G2" s="89">
        <f t="shared" si="0"/>
        <v>46108</v>
      </c>
      <c r="H2" s="89">
        <f t="shared" si="0"/>
        <v>46109</v>
      </c>
      <c r="I2" s="89">
        <f t="shared" si="0"/>
        <v>46110</v>
      </c>
      <c r="J2" s="66" t="s">
        <v>171</v>
      </c>
    </row>
    <row r="3" spans="1:10" x14ac:dyDescent="0.25">
      <c r="A3" s="65" t="s">
        <v>11</v>
      </c>
      <c r="B3" s="62" t="s">
        <v>12</v>
      </c>
      <c r="C3" s="62"/>
      <c r="D3" s="62"/>
      <c r="E3" s="62"/>
      <c r="F3" s="62"/>
      <c r="G3" s="62"/>
      <c r="H3" s="62"/>
      <c r="I3" s="62"/>
      <c r="J3" s="62"/>
    </row>
    <row r="4" spans="1:10" x14ac:dyDescent="0.25">
      <c r="A4" s="65" t="s">
        <v>14</v>
      </c>
      <c r="B4" s="62" t="s">
        <v>12</v>
      </c>
      <c r="C4" s="62"/>
      <c r="D4" s="62"/>
      <c r="E4" s="62"/>
      <c r="F4" s="62"/>
      <c r="G4" s="62"/>
      <c r="H4" s="62"/>
      <c r="I4" s="62"/>
      <c r="J4" s="62"/>
    </row>
    <row r="5" spans="1:10" x14ac:dyDescent="0.25">
      <c r="A5" s="65" t="s">
        <v>15</v>
      </c>
      <c r="B5" s="62" t="s">
        <v>12</v>
      </c>
      <c r="C5" s="62"/>
      <c r="D5" s="62"/>
      <c r="E5" s="62"/>
      <c r="F5" s="62"/>
      <c r="G5" s="62"/>
      <c r="H5" s="62"/>
      <c r="I5" s="62"/>
      <c r="J5" s="62"/>
    </row>
    <row r="6" spans="1:10" x14ac:dyDescent="0.25">
      <c r="A6" s="65" t="s">
        <v>16</v>
      </c>
      <c r="B6" s="62" t="s">
        <v>12</v>
      </c>
      <c r="C6" s="62"/>
      <c r="D6" s="62"/>
      <c r="E6" s="62"/>
      <c r="F6" s="62"/>
      <c r="G6" s="62"/>
      <c r="H6" s="62"/>
      <c r="I6" s="62"/>
      <c r="J6" s="62"/>
    </row>
    <row r="7" spans="1:10" x14ac:dyDescent="0.25">
      <c r="A7" s="65" t="s">
        <v>17</v>
      </c>
      <c r="B7" s="62" t="s">
        <v>12</v>
      </c>
      <c r="C7" s="62"/>
      <c r="D7" s="62"/>
      <c r="E7" s="62"/>
      <c r="F7" s="62"/>
      <c r="G7" s="62"/>
      <c r="H7" s="62"/>
      <c r="I7" s="62"/>
      <c r="J7" s="62"/>
    </row>
    <row r="8" spans="1:10" x14ac:dyDescent="0.25">
      <c r="A8" s="65" t="s">
        <v>19</v>
      </c>
      <c r="B8" s="62" t="s">
        <v>12</v>
      </c>
      <c r="C8" s="62"/>
      <c r="D8" s="62"/>
      <c r="E8" s="62"/>
      <c r="F8" s="62"/>
      <c r="G8" s="62"/>
      <c r="H8" s="62"/>
      <c r="I8" s="62"/>
      <c r="J8" s="62"/>
    </row>
    <row r="9" spans="1:10" x14ac:dyDescent="0.25">
      <c r="A9" s="87" t="s">
        <v>192</v>
      </c>
      <c r="B9" s="73"/>
      <c r="C9" s="71"/>
      <c r="D9" s="71"/>
      <c r="E9" s="71"/>
      <c r="F9" s="71"/>
      <c r="G9" s="71"/>
      <c r="H9" s="71"/>
      <c r="I9" s="71"/>
      <c r="J9" s="71"/>
    </row>
    <row r="10" spans="1:10" x14ac:dyDescent="0.25">
      <c r="A10" s="65" t="s">
        <v>191</v>
      </c>
      <c r="B10" s="62" t="s">
        <v>22</v>
      </c>
      <c r="C10" s="62"/>
      <c r="D10" s="62"/>
      <c r="E10" s="62"/>
      <c r="F10" s="62"/>
      <c r="G10" s="62"/>
      <c r="H10" s="62"/>
      <c r="I10" s="62"/>
      <c r="J10" s="62"/>
    </row>
    <row r="11" spans="1:10" x14ac:dyDescent="0.25">
      <c r="A11" s="65" t="s">
        <v>188</v>
      </c>
      <c r="B11" s="62" t="s">
        <v>22</v>
      </c>
      <c r="C11" s="62"/>
      <c r="D11" s="62"/>
      <c r="E11" s="62"/>
      <c r="F11" s="62"/>
      <c r="G11" s="62"/>
      <c r="H11" s="62"/>
      <c r="I11" s="62"/>
      <c r="J11" s="62"/>
    </row>
    <row r="12" spans="1:10" x14ac:dyDescent="0.25">
      <c r="A12" s="87" t="s">
        <v>190</v>
      </c>
      <c r="B12" s="73"/>
      <c r="C12" s="71"/>
      <c r="D12" s="71"/>
      <c r="E12" s="71"/>
      <c r="F12" s="71"/>
      <c r="G12" s="71"/>
      <c r="H12" s="71"/>
      <c r="I12" s="71"/>
      <c r="J12" s="71"/>
    </row>
    <row r="13" spans="1:10" x14ac:dyDescent="0.25">
      <c r="A13" s="65" t="s">
        <v>189</v>
      </c>
      <c r="B13" s="62" t="s">
        <v>22</v>
      </c>
      <c r="C13" s="62"/>
      <c r="D13" s="62"/>
      <c r="E13" s="62"/>
      <c r="F13" s="62"/>
      <c r="G13" s="62"/>
      <c r="H13" s="62"/>
      <c r="I13" s="62"/>
      <c r="J13" s="62"/>
    </row>
    <row r="14" spans="1:10" x14ac:dyDescent="0.25">
      <c r="A14" s="65" t="s">
        <v>188</v>
      </c>
      <c r="B14" s="62" t="s">
        <v>22</v>
      </c>
      <c r="C14" s="62"/>
      <c r="D14" s="62"/>
      <c r="E14" s="62"/>
      <c r="F14" s="62"/>
      <c r="G14" s="62"/>
      <c r="H14" s="62"/>
      <c r="I14" s="62"/>
      <c r="J14" s="62"/>
    </row>
    <row r="15" spans="1:10" x14ac:dyDescent="0.25">
      <c r="A15" s="65" t="s">
        <v>29</v>
      </c>
      <c r="B15" s="62" t="s">
        <v>22</v>
      </c>
      <c r="C15" s="62"/>
      <c r="D15" s="62"/>
      <c r="E15" s="62"/>
      <c r="F15" s="62"/>
      <c r="G15" s="62"/>
      <c r="H15" s="62"/>
      <c r="I15" s="62"/>
      <c r="J15" s="62"/>
    </row>
    <row r="16" spans="1:10" x14ac:dyDescent="0.25">
      <c r="A16" s="65" t="s">
        <v>30</v>
      </c>
      <c r="B16" s="62" t="s">
        <v>22</v>
      </c>
      <c r="C16" s="62"/>
      <c r="D16" s="62"/>
      <c r="E16" s="62"/>
      <c r="F16" s="62"/>
      <c r="G16" s="62"/>
      <c r="H16" s="62"/>
      <c r="I16" s="62"/>
      <c r="J16" s="62"/>
    </row>
    <row r="17" spans="1:10" x14ac:dyDescent="0.25">
      <c r="A17" s="70" t="s">
        <v>32</v>
      </c>
      <c r="B17" s="69" t="s">
        <v>22</v>
      </c>
      <c r="C17" s="69"/>
      <c r="D17" s="69"/>
      <c r="E17" s="69"/>
      <c r="F17" s="69"/>
      <c r="G17" s="69"/>
      <c r="H17" s="69"/>
      <c r="I17" s="69"/>
      <c r="J17" s="69"/>
    </row>
    <row r="18" spans="1:10" x14ac:dyDescent="0.25">
      <c r="A18" s="62" t="s">
        <v>183</v>
      </c>
      <c r="B18" s="62"/>
      <c r="C18" s="62"/>
      <c r="D18" s="62"/>
      <c r="E18" s="62"/>
      <c r="F18" s="62"/>
      <c r="G18" s="62"/>
      <c r="H18" s="62"/>
      <c r="I18" s="62"/>
      <c r="J18" s="62"/>
    </row>
    <row r="20" spans="1:10" ht="23.25" customHeight="1" x14ac:dyDescent="0.25">
      <c r="A20" s="88" t="s">
        <v>187</v>
      </c>
      <c r="B20" s="73"/>
      <c r="C20" s="73"/>
      <c r="D20" s="73"/>
      <c r="E20" s="73"/>
      <c r="F20" s="73"/>
      <c r="G20" s="73"/>
      <c r="H20" s="73"/>
      <c r="I20" s="73"/>
      <c r="J20" s="73"/>
    </row>
    <row r="21" spans="1:10" ht="24.75" customHeight="1" x14ac:dyDescent="0.25">
      <c r="A21" s="66" t="s">
        <v>186</v>
      </c>
      <c r="B21" s="66" t="s">
        <v>4</v>
      </c>
      <c r="C21" s="89">
        <f>C2</f>
        <v>46104</v>
      </c>
      <c r="D21" s="89">
        <f t="shared" ref="D21:I21" si="1">D2</f>
        <v>46105</v>
      </c>
      <c r="E21" s="89">
        <f t="shared" si="1"/>
        <v>46106</v>
      </c>
      <c r="F21" s="89">
        <f t="shared" si="1"/>
        <v>46107</v>
      </c>
      <c r="G21" s="89">
        <f t="shared" si="1"/>
        <v>46108</v>
      </c>
      <c r="H21" s="89">
        <f t="shared" si="1"/>
        <v>46109</v>
      </c>
      <c r="I21" s="89">
        <f t="shared" si="1"/>
        <v>46110</v>
      </c>
      <c r="J21" s="66" t="s">
        <v>171</v>
      </c>
    </row>
    <row r="22" spans="1:10" x14ac:dyDescent="0.25">
      <c r="A22" s="65" t="s">
        <v>34</v>
      </c>
      <c r="B22" s="62" t="s">
        <v>35</v>
      </c>
      <c r="C22" s="62"/>
      <c r="D22" s="62"/>
      <c r="E22" s="62"/>
      <c r="F22" s="62"/>
      <c r="G22" s="62"/>
      <c r="H22" s="62"/>
      <c r="I22" s="62"/>
      <c r="J22" s="62"/>
    </row>
    <row r="23" spans="1:10" x14ac:dyDescent="0.25">
      <c r="A23" s="65" t="s">
        <v>37</v>
      </c>
      <c r="B23" s="62" t="s">
        <v>35</v>
      </c>
      <c r="C23" s="62"/>
      <c r="D23" s="62"/>
      <c r="E23" s="62"/>
      <c r="F23" s="62"/>
      <c r="G23" s="62"/>
      <c r="H23" s="62"/>
      <c r="I23" s="62"/>
      <c r="J23" s="62"/>
    </row>
    <row r="24" spans="1:10" x14ac:dyDescent="0.25">
      <c r="A24" s="65" t="s">
        <v>38</v>
      </c>
      <c r="B24" s="62" t="s">
        <v>35</v>
      </c>
      <c r="C24" s="62"/>
      <c r="D24" s="62"/>
      <c r="E24" s="62"/>
      <c r="F24" s="62"/>
      <c r="G24" s="62"/>
      <c r="H24" s="62"/>
      <c r="I24" s="62"/>
      <c r="J24" s="62"/>
    </row>
    <row r="25" spans="1:10" x14ac:dyDescent="0.25">
      <c r="A25" s="65" t="s">
        <v>39</v>
      </c>
      <c r="B25" s="62" t="s">
        <v>185</v>
      </c>
      <c r="C25" s="62"/>
      <c r="D25" s="62"/>
      <c r="E25" s="62"/>
      <c r="F25" s="62"/>
      <c r="G25" s="62"/>
      <c r="H25" s="62"/>
      <c r="I25" s="62"/>
      <c r="J25" s="62"/>
    </row>
    <row r="26" spans="1:10" x14ac:dyDescent="0.25">
      <c r="A26" s="65" t="s">
        <v>41</v>
      </c>
      <c r="B26" s="62" t="s">
        <v>185</v>
      </c>
      <c r="C26" s="62"/>
      <c r="D26" s="62"/>
      <c r="E26" s="62"/>
      <c r="F26" s="62"/>
      <c r="G26" s="62"/>
      <c r="H26" s="62"/>
      <c r="I26" s="62"/>
      <c r="J26" s="62"/>
    </row>
    <row r="27" spans="1:10" x14ac:dyDescent="0.25">
      <c r="A27" s="65" t="s">
        <v>184</v>
      </c>
      <c r="B27" s="62" t="s">
        <v>12</v>
      </c>
      <c r="C27" s="62"/>
      <c r="D27" s="62"/>
      <c r="E27" s="62"/>
      <c r="F27" s="62"/>
      <c r="G27" s="62"/>
      <c r="H27" s="62"/>
      <c r="I27" s="62"/>
      <c r="J27" s="62"/>
    </row>
    <row r="28" spans="1:10" x14ac:dyDescent="0.25">
      <c r="A28" s="65" t="s">
        <v>44</v>
      </c>
      <c r="B28" s="62" t="s">
        <v>45</v>
      </c>
      <c r="C28" s="62"/>
      <c r="D28" s="62"/>
      <c r="E28" s="62"/>
      <c r="F28" s="62"/>
      <c r="G28" s="62"/>
      <c r="H28" s="62"/>
      <c r="I28" s="62"/>
      <c r="J28" s="62"/>
    </row>
    <row r="29" spans="1:10" x14ac:dyDescent="0.25">
      <c r="A29" s="65" t="s">
        <v>47</v>
      </c>
      <c r="B29" s="62" t="s">
        <v>12</v>
      </c>
      <c r="C29" s="62"/>
      <c r="D29" s="62"/>
      <c r="E29" s="62"/>
      <c r="F29" s="62"/>
      <c r="G29" s="62"/>
      <c r="H29" s="62"/>
      <c r="I29" s="62"/>
      <c r="J29" s="62"/>
    </row>
    <row r="30" spans="1:10" x14ac:dyDescent="0.25">
      <c r="A30" s="65" t="s">
        <v>48</v>
      </c>
      <c r="B30" s="62" t="s">
        <v>22</v>
      </c>
      <c r="C30" s="62"/>
      <c r="D30" s="62"/>
      <c r="E30" s="62"/>
      <c r="F30" s="62"/>
      <c r="G30" s="62"/>
      <c r="H30" s="62"/>
      <c r="I30" s="62"/>
      <c r="J30" s="62"/>
    </row>
    <row r="31" spans="1:10" x14ac:dyDescent="0.25">
      <c r="A31" s="65" t="s">
        <v>49</v>
      </c>
      <c r="B31" s="62" t="s">
        <v>12</v>
      </c>
      <c r="C31" s="62"/>
      <c r="D31" s="62"/>
      <c r="E31" s="62"/>
      <c r="F31" s="62"/>
      <c r="G31" s="62"/>
      <c r="H31" s="62"/>
      <c r="I31" s="62"/>
      <c r="J31" s="62"/>
    </row>
    <row r="32" spans="1:10" x14ac:dyDescent="0.25">
      <c r="A32" s="68" t="s">
        <v>183</v>
      </c>
      <c r="B32" s="67"/>
      <c r="C32" s="67"/>
      <c r="D32" s="67"/>
      <c r="E32" s="67"/>
      <c r="F32" s="67"/>
      <c r="G32" s="67"/>
      <c r="H32" s="67"/>
      <c r="I32" s="67"/>
      <c r="J32" s="67"/>
    </row>
    <row r="34" spans="1:10" ht="25.5" customHeight="1" x14ac:dyDescent="0.25">
      <c r="A34" s="88" t="s">
        <v>182</v>
      </c>
      <c r="B34" s="73"/>
      <c r="C34" s="73"/>
      <c r="D34" s="73"/>
      <c r="E34" s="73"/>
      <c r="F34" s="73"/>
      <c r="G34" s="73"/>
      <c r="H34" s="73"/>
      <c r="I34" s="73"/>
      <c r="J34" s="73"/>
    </row>
    <row r="35" spans="1:10" ht="26.25" customHeight="1" x14ac:dyDescent="0.25">
      <c r="A35" s="66" t="s">
        <v>181</v>
      </c>
      <c r="B35" s="66" t="s">
        <v>4</v>
      </c>
      <c r="C35" s="89">
        <f>C21</f>
        <v>46104</v>
      </c>
      <c r="D35" s="89">
        <f t="shared" ref="D35:I35" si="2">D21</f>
        <v>46105</v>
      </c>
      <c r="E35" s="89">
        <f t="shared" si="2"/>
        <v>46106</v>
      </c>
      <c r="F35" s="89">
        <f t="shared" si="2"/>
        <v>46107</v>
      </c>
      <c r="G35" s="89">
        <f t="shared" si="2"/>
        <v>46108</v>
      </c>
      <c r="H35" s="89">
        <f t="shared" si="2"/>
        <v>46109</v>
      </c>
      <c r="I35" s="89">
        <f t="shared" si="2"/>
        <v>46110</v>
      </c>
      <c r="J35" s="66" t="s">
        <v>171</v>
      </c>
    </row>
    <row r="36" spans="1:10" x14ac:dyDescent="0.25">
      <c r="A36" s="65" t="s">
        <v>51</v>
      </c>
      <c r="B36" s="62" t="s">
        <v>52</v>
      </c>
      <c r="C36" s="62"/>
      <c r="D36" s="62"/>
      <c r="E36" s="62"/>
      <c r="F36" s="62"/>
      <c r="G36" s="62"/>
      <c r="H36" s="62"/>
      <c r="I36" s="62"/>
      <c r="J36" s="62"/>
    </row>
    <row r="37" spans="1:10" x14ac:dyDescent="0.25">
      <c r="A37" s="65" t="s">
        <v>54</v>
      </c>
      <c r="B37" s="62" t="s">
        <v>52</v>
      </c>
      <c r="C37" s="62"/>
      <c r="D37" s="62"/>
      <c r="E37" s="62"/>
      <c r="F37" s="62"/>
      <c r="G37" s="62"/>
      <c r="H37" s="62"/>
      <c r="I37" s="62"/>
      <c r="J37" s="62"/>
    </row>
    <row r="38" spans="1:10" x14ac:dyDescent="0.25">
      <c r="A38" s="65" t="s">
        <v>56</v>
      </c>
      <c r="B38" s="62" t="s">
        <v>52</v>
      </c>
      <c r="C38" s="62"/>
      <c r="D38" s="62"/>
      <c r="E38" s="62"/>
      <c r="F38" s="62"/>
      <c r="G38" s="62"/>
      <c r="H38" s="62"/>
      <c r="I38" s="62"/>
      <c r="J38" s="62"/>
    </row>
    <row r="39" spans="1:10" x14ac:dyDescent="0.25">
      <c r="A39" s="65" t="s">
        <v>57</v>
      </c>
      <c r="B39" s="62" t="s">
        <v>52</v>
      </c>
      <c r="C39" s="62"/>
      <c r="D39" s="62"/>
      <c r="E39" s="62"/>
      <c r="F39" s="62"/>
      <c r="G39" s="62"/>
      <c r="H39" s="62"/>
      <c r="I39" s="62"/>
      <c r="J39" s="62"/>
    </row>
    <row r="40" spans="1:10" x14ac:dyDescent="0.25">
      <c r="A40" s="65" t="s">
        <v>58</v>
      </c>
      <c r="B40" s="62" t="s">
        <v>52</v>
      </c>
      <c r="C40" s="62"/>
      <c r="D40" s="62"/>
      <c r="E40" s="62"/>
      <c r="F40" s="62"/>
      <c r="G40" s="62"/>
      <c r="H40" s="62"/>
      <c r="I40" s="62"/>
      <c r="J40" s="62"/>
    </row>
    <row r="41" spans="1:10" x14ac:dyDescent="0.25">
      <c r="A41" s="65" t="s">
        <v>60</v>
      </c>
      <c r="B41" s="62" t="s">
        <v>52</v>
      </c>
      <c r="C41" s="62"/>
      <c r="D41" s="62"/>
      <c r="E41" s="62"/>
      <c r="F41" s="62"/>
      <c r="G41" s="62"/>
      <c r="H41" s="62"/>
      <c r="I41" s="62"/>
      <c r="J41" s="62"/>
    </row>
    <row r="42" spans="1:10" x14ac:dyDescent="0.25">
      <c r="A42" s="65" t="s">
        <v>62</v>
      </c>
      <c r="B42" s="62" t="s">
        <v>52</v>
      </c>
      <c r="C42" s="62"/>
      <c r="D42" s="62"/>
      <c r="E42" s="62"/>
      <c r="F42" s="62"/>
      <c r="G42" s="62"/>
      <c r="H42" s="62"/>
      <c r="I42" s="62"/>
      <c r="J42" s="62"/>
    </row>
    <row r="43" spans="1:10" x14ac:dyDescent="0.25">
      <c r="A43" s="65" t="s">
        <v>63</v>
      </c>
      <c r="B43" s="62" t="s">
        <v>52</v>
      </c>
      <c r="C43" s="62"/>
      <c r="D43" s="62"/>
      <c r="E43" s="62"/>
      <c r="F43" s="62"/>
      <c r="G43" s="62"/>
      <c r="H43" s="62"/>
      <c r="I43" s="62"/>
      <c r="J43" s="62"/>
    </row>
    <row r="44" spans="1:10" x14ac:dyDescent="0.25">
      <c r="A44" s="65" t="s">
        <v>64</v>
      </c>
      <c r="B44" s="62" t="s">
        <v>52</v>
      </c>
      <c r="C44" s="62"/>
      <c r="D44" s="62"/>
      <c r="E44" s="62"/>
      <c r="F44" s="62"/>
      <c r="G44" s="62"/>
      <c r="H44" s="62"/>
      <c r="I44" s="62"/>
      <c r="J44" s="62"/>
    </row>
    <row r="45" spans="1:10" x14ac:dyDescent="0.25">
      <c r="A45" s="65" t="s">
        <v>65</v>
      </c>
      <c r="B45" s="62" t="s">
        <v>52</v>
      </c>
      <c r="C45" s="62"/>
      <c r="D45" s="62"/>
      <c r="E45" s="62"/>
      <c r="F45" s="62"/>
      <c r="G45" s="62"/>
      <c r="H45" s="62"/>
      <c r="I45" s="62"/>
      <c r="J45" s="62"/>
    </row>
    <row r="46" spans="1:10" x14ac:dyDescent="0.25">
      <c r="A46" s="65" t="s">
        <v>66</v>
      </c>
      <c r="B46" s="62" t="s">
        <v>52</v>
      </c>
      <c r="C46" s="62"/>
      <c r="D46" s="62"/>
      <c r="E46" s="62"/>
      <c r="F46" s="62"/>
      <c r="G46" s="62"/>
      <c r="H46" s="62"/>
      <c r="I46" s="62"/>
      <c r="J46" s="62"/>
    </row>
    <row r="47" spans="1:10" x14ac:dyDescent="0.25">
      <c r="A47" s="65" t="s">
        <v>68</v>
      </c>
      <c r="B47" s="62" t="s">
        <v>52</v>
      </c>
      <c r="C47" s="62"/>
      <c r="D47" s="62"/>
      <c r="E47" s="62"/>
      <c r="F47" s="62"/>
      <c r="G47" s="62"/>
      <c r="H47" s="62"/>
      <c r="I47" s="62"/>
      <c r="J47" s="62"/>
    </row>
    <row r="48" spans="1:10" x14ac:dyDescent="0.25">
      <c r="A48" s="65" t="s">
        <v>69</v>
      </c>
      <c r="B48" s="62" t="s">
        <v>52</v>
      </c>
      <c r="C48" s="62"/>
      <c r="D48" s="62"/>
      <c r="E48" s="62"/>
      <c r="F48" s="62"/>
      <c r="G48" s="62"/>
      <c r="H48" s="62"/>
      <c r="I48" s="62"/>
      <c r="J48" s="62"/>
    </row>
    <row r="49" spans="1:10" x14ac:dyDescent="0.25">
      <c r="A49" s="65" t="s">
        <v>71</v>
      </c>
      <c r="B49" s="62" t="s">
        <v>52</v>
      </c>
      <c r="C49" s="62"/>
      <c r="D49" s="62"/>
      <c r="E49" s="62"/>
      <c r="F49" s="62"/>
      <c r="G49" s="62"/>
      <c r="H49" s="62"/>
      <c r="I49" s="62"/>
      <c r="J49" s="62"/>
    </row>
    <row r="50" spans="1:10" x14ac:dyDescent="0.25">
      <c r="A50" s="65" t="s">
        <v>72</v>
      </c>
      <c r="B50" s="62" t="s">
        <v>52</v>
      </c>
      <c r="C50" s="62"/>
      <c r="D50" s="62"/>
      <c r="E50" s="62"/>
      <c r="F50" s="62"/>
      <c r="G50" s="62"/>
      <c r="H50" s="62"/>
      <c r="I50" s="62"/>
      <c r="J50" s="62"/>
    </row>
    <row r="51" spans="1:10" x14ac:dyDescent="0.25">
      <c r="A51" s="65" t="s">
        <v>73</v>
      </c>
      <c r="B51" s="62" t="s">
        <v>52</v>
      </c>
      <c r="C51" s="62"/>
      <c r="D51" s="62"/>
      <c r="E51" s="62"/>
      <c r="F51" s="62"/>
      <c r="G51" s="62"/>
      <c r="H51" s="62"/>
      <c r="I51" s="62"/>
      <c r="J51" s="62"/>
    </row>
    <row r="52" spans="1:10" x14ac:dyDescent="0.25">
      <c r="A52" s="65" t="s">
        <v>75</v>
      </c>
      <c r="B52" s="62" t="s">
        <v>52</v>
      </c>
      <c r="C52" s="62"/>
      <c r="D52" s="62"/>
      <c r="E52" s="62"/>
      <c r="F52" s="62"/>
      <c r="G52" s="62"/>
      <c r="H52" s="62"/>
      <c r="I52" s="62"/>
      <c r="J52" s="62"/>
    </row>
    <row r="54" spans="1:10" s="61" customFormat="1" x14ac:dyDescent="0.25"/>
    <row r="55" spans="1:10" s="61" customFormat="1" x14ac:dyDescent="0.25"/>
    <row r="56" spans="1:10" x14ac:dyDescent="0.25">
      <c r="A56" s="85" t="s">
        <v>180</v>
      </c>
      <c r="B56" s="73"/>
      <c r="C56" s="73"/>
      <c r="D56" s="73"/>
      <c r="E56" s="73"/>
      <c r="F56" s="73"/>
      <c r="G56" s="73"/>
      <c r="H56" s="73"/>
      <c r="I56" s="73"/>
      <c r="J56" s="73"/>
    </row>
    <row r="57" spans="1:10" ht="29.25" customHeight="1" x14ac:dyDescent="0.25">
      <c r="A57" s="66" t="s">
        <v>180</v>
      </c>
      <c r="B57" s="66" t="s">
        <v>4</v>
      </c>
      <c r="C57" s="89">
        <f>C35</f>
        <v>46104</v>
      </c>
      <c r="D57" s="89">
        <f t="shared" ref="D57:I57" si="3">D35</f>
        <v>46105</v>
      </c>
      <c r="E57" s="89">
        <f t="shared" si="3"/>
        <v>46106</v>
      </c>
      <c r="F57" s="89">
        <f t="shared" si="3"/>
        <v>46107</v>
      </c>
      <c r="G57" s="89">
        <f t="shared" si="3"/>
        <v>46108</v>
      </c>
      <c r="H57" s="89">
        <f t="shared" si="3"/>
        <v>46109</v>
      </c>
      <c r="I57" s="89">
        <f t="shared" si="3"/>
        <v>46110</v>
      </c>
      <c r="J57" s="66" t="s">
        <v>171</v>
      </c>
    </row>
    <row r="58" spans="1:10" x14ac:dyDescent="0.25">
      <c r="A58" s="65" t="s">
        <v>77</v>
      </c>
      <c r="B58" s="62" t="s">
        <v>78</v>
      </c>
      <c r="C58" s="62"/>
      <c r="D58" s="62"/>
      <c r="E58" s="62"/>
      <c r="F58" s="62"/>
      <c r="G58" s="62"/>
      <c r="H58" s="62"/>
      <c r="I58" s="62"/>
      <c r="J58" s="62"/>
    </row>
    <row r="59" spans="1:10" x14ac:dyDescent="0.25">
      <c r="A59" s="65" t="s">
        <v>80</v>
      </c>
      <c r="B59" s="62" t="s">
        <v>78</v>
      </c>
      <c r="C59" s="62"/>
      <c r="D59" s="62"/>
      <c r="E59" s="62"/>
      <c r="F59" s="62"/>
      <c r="G59" s="62"/>
      <c r="H59" s="62"/>
      <c r="I59" s="62"/>
      <c r="J59" s="62"/>
    </row>
    <row r="60" spans="1:10" x14ac:dyDescent="0.25">
      <c r="A60" s="65" t="s">
        <v>82</v>
      </c>
      <c r="B60" s="62" t="s">
        <v>78</v>
      </c>
      <c r="C60" s="62"/>
      <c r="D60" s="62"/>
      <c r="E60" s="62"/>
      <c r="F60" s="62"/>
      <c r="G60" s="62"/>
      <c r="H60" s="62"/>
      <c r="I60" s="62"/>
      <c r="J60" s="62"/>
    </row>
    <row r="61" spans="1:10" x14ac:dyDescent="0.25">
      <c r="A61" s="65" t="s">
        <v>83</v>
      </c>
      <c r="B61" s="62" t="s">
        <v>78</v>
      </c>
      <c r="C61" s="62"/>
      <c r="D61" s="62"/>
      <c r="E61" s="62"/>
      <c r="F61" s="62"/>
      <c r="G61" s="62"/>
      <c r="H61" s="62"/>
      <c r="I61" s="62"/>
      <c r="J61" s="62"/>
    </row>
    <row r="62" spans="1:10" x14ac:dyDescent="0.25">
      <c r="A62" s="65" t="s">
        <v>84</v>
      </c>
      <c r="B62" s="62" t="s">
        <v>78</v>
      </c>
      <c r="C62" s="62"/>
      <c r="D62" s="62"/>
      <c r="E62" s="62"/>
      <c r="F62" s="62"/>
      <c r="G62" s="62"/>
      <c r="H62" s="62"/>
      <c r="I62" s="62"/>
      <c r="J62" s="62"/>
    </row>
    <row r="63" spans="1:10" x14ac:dyDescent="0.25">
      <c r="A63" s="65" t="s">
        <v>85</v>
      </c>
      <c r="B63" s="62" t="s">
        <v>78</v>
      </c>
      <c r="C63" s="62"/>
      <c r="D63" s="62"/>
      <c r="E63" s="62"/>
      <c r="F63" s="62"/>
      <c r="G63" s="62"/>
      <c r="H63" s="62"/>
      <c r="I63" s="62"/>
      <c r="J63" s="62"/>
    </row>
    <row r="64" spans="1:10" x14ac:dyDescent="0.25">
      <c r="A64" s="65" t="s">
        <v>87</v>
      </c>
      <c r="B64" s="62" t="s">
        <v>78</v>
      </c>
      <c r="C64" s="62"/>
      <c r="D64" s="62"/>
      <c r="E64" s="62"/>
      <c r="F64" s="62"/>
      <c r="G64" s="62"/>
      <c r="H64" s="62"/>
      <c r="I64" s="62"/>
      <c r="J64" s="62"/>
    </row>
    <row r="66" spans="1:10" x14ac:dyDescent="0.25">
      <c r="A66" s="86" t="s">
        <v>179</v>
      </c>
      <c r="B66" s="73"/>
      <c r="C66" s="73"/>
      <c r="D66" s="73"/>
      <c r="E66" s="73"/>
      <c r="F66" s="73"/>
      <c r="G66" s="73"/>
      <c r="H66" s="73"/>
      <c r="I66" s="73"/>
      <c r="J66" s="73"/>
    </row>
    <row r="67" spans="1:10" ht="29.25" customHeight="1" x14ac:dyDescent="0.25">
      <c r="A67" s="66" t="s">
        <v>179</v>
      </c>
      <c r="B67" s="66" t="s">
        <v>4</v>
      </c>
      <c r="C67" s="89">
        <f>C57</f>
        <v>46104</v>
      </c>
      <c r="D67" s="89">
        <f t="shared" ref="D67:I67" si="4">D57</f>
        <v>46105</v>
      </c>
      <c r="E67" s="89">
        <f t="shared" si="4"/>
        <v>46106</v>
      </c>
      <c r="F67" s="89">
        <f t="shared" si="4"/>
        <v>46107</v>
      </c>
      <c r="G67" s="89">
        <f t="shared" si="4"/>
        <v>46108</v>
      </c>
      <c r="H67" s="89">
        <f t="shared" si="4"/>
        <v>46109</v>
      </c>
      <c r="I67" s="89">
        <f t="shared" si="4"/>
        <v>46110</v>
      </c>
      <c r="J67" s="66" t="s">
        <v>171</v>
      </c>
    </row>
    <row r="68" spans="1:10" x14ac:dyDescent="0.25">
      <c r="A68" s="65" t="s">
        <v>89</v>
      </c>
      <c r="B68" s="62"/>
      <c r="C68" s="62"/>
      <c r="D68" s="62"/>
      <c r="E68" s="62"/>
      <c r="F68" s="62"/>
      <c r="G68" s="62"/>
      <c r="H68" s="62"/>
      <c r="I68" s="62"/>
      <c r="J68" s="62"/>
    </row>
    <row r="69" spans="1:10" x14ac:dyDescent="0.25">
      <c r="A69" s="65" t="s">
        <v>90</v>
      </c>
      <c r="B69" s="62"/>
      <c r="C69" s="62"/>
      <c r="D69" s="62"/>
      <c r="E69" s="62"/>
      <c r="F69" s="62"/>
      <c r="G69" s="62"/>
      <c r="H69" s="62"/>
      <c r="I69" s="62"/>
      <c r="J69" s="62"/>
    </row>
    <row r="70" spans="1:10" x14ac:dyDescent="0.25">
      <c r="A70" s="62" t="s">
        <v>170</v>
      </c>
      <c r="B70" s="62"/>
      <c r="C70" s="62"/>
      <c r="D70" s="62"/>
      <c r="E70" s="62"/>
      <c r="F70" s="62"/>
      <c r="G70" s="62"/>
      <c r="H70" s="62"/>
      <c r="I70" s="62"/>
      <c r="J70" s="62"/>
    </row>
    <row r="71" spans="1:10" x14ac:dyDescent="0.25">
      <c r="A71" s="64" t="s">
        <v>169</v>
      </c>
      <c r="B71" s="63"/>
      <c r="C71" s="63"/>
      <c r="D71" s="63"/>
      <c r="E71" s="63"/>
      <c r="F71" s="63"/>
      <c r="G71" s="63"/>
      <c r="H71" s="63"/>
      <c r="I71" s="63"/>
      <c r="J71" s="63"/>
    </row>
    <row r="72" spans="1:10" x14ac:dyDescent="0.25">
      <c r="A72" s="62" t="s">
        <v>168</v>
      </c>
      <c r="B72" s="62"/>
      <c r="C72" s="62"/>
      <c r="D72" s="62"/>
      <c r="E72" s="62"/>
      <c r="F72" s="62"/>
      <c r="G72" s="62"/>
      <c r="H72" s="62"/>
      <c r="I72" s="62"/>
      <c r="J72" s="62"/>
    </row>
    <row r="74" spans="1:10" ht="15.75" x14ac:dyDescent="0.25">
      <c r="A74" s="92" t="s">
        <v>196</v>
      </c>
      <c r="B74" s="73"/>
      <c r="C74" s="73"/>
      <c r="D74" s="73"/>
      <c r="E74" s="73"/>
      <c r="F74" s="73"/>
      <c r="G74" s="73"/>
      <c r="H74" s="73"/>
      <c r="I74" s="73"/>
      <c r="J74" s="73"/>
    </row>
    <row r="75" spans="1:10" ht="25.5" x14ac:dyDescent="0.25">
      <c r="A75" s="93" t="s">
        <v>91</v>
      </c>
      <c r="B75" s="93" t="s">
        <v>4</v>
      </c>
      <c r="C75" s="93" t="s">
        <v>178</v>
      </c>
      <c r="D75" s="93" t="s">
        <v>177</v>
      </c>
      <c r="E75" s="93" t="s">
        <v>176</v>
      </c>
      <c r="F75" s="93" t="s">
        <v>175</v>
      </c>
      <c r="G75" s="93" t="s">
        <v>174</v>
      </c>
      <c r="H75" s="93" t="s">
        <v>173</v>
      </c>
      <c r="I75" s="93" t="s">
        <v>172</v>
      </c>
      <c r="J75" s="93" t="s">
        <v>171</v>
      </c>
    </row>
    <row r="76" spans="1:10" x14ac:dyDescent="0.25">
      <c r="A76" s="94" t="s">
        <v>92</v>
      </c>
      <c r="B76" s="95" t="s">
        <v>22</v>
      </c>
      <c r="C76" s="95"/>
      <c r="D76" s="95"/>
      <c r="E76" s="95"/>
      <c r="F76" s="95"/>
      <c r="G76" s="95"/>
      <c r="H76" s="95"/>
      <c r="I76" s="95"/>
      <c r="J76" s="95"/>
    </row>
    <row r="77" spans="1:10" x14ac:dyDescent="0.25">
      <c r="A77" s="94" t="s">
        <v>197</v>
      </c>
      <c r="B77" s="95" t="s">
        <v>22</v>
      </c>
      <c r="C77" s="95"/>
      <c r="D77" s="95"/>
      <c r="E77" s="95"/>
      <c r="F77" s="95"/>
      <c r="G77" s="95"/>
      <c r="H77" s="95"/>
      <c r="I77" s="95"/>
      <c r="J77" s="95"/>
    </row>
    <row r="78" spans="1:10" x14ac:dyDescent="0.25">
      <c r="A78" s="94" t="s">
        <v>198</v>
      </c>
      <c r="B78" s="95" t="s">
        <v>22</v>
      </c>
      <c r="C78" s="95"/>
      <c r="D78" s="95"/>
      <c r="E78" s="95"/>
      <c r="F78" s="95"/>
      <c r="G78" s="95"/>
      <c r="H78" s="95"/>
      <c r="I78" s="95"/>
      <c r="J78" s="95"/>
    </row>
    <row r="79" spans="1:10" x14ac:dyDescent="0.25">
      <c r="A79" s="94" t="s">
        <v>98</v>
      </c>
      <c r="B79" s="95" t="s">
        <v>22</v>
      </c>
      <c r="C79" s="95"/>
      <c r="D79" s="95"/>
      <c r="E79" s="95"/>
      <c r="F79" s="95"/>
      <c r="G79" s="95"/>
      <c r="H79" s="95"/>
      <c r="I79" s="95"/>
      <c r="J79" s="95"/>
    </row>
    <row r="80" spans="1:10" x14ac:dyDescent="0.25">
      <c r="A80" s="94" t="s">
        <v>99</v>
      </c>
      <c r="B80" s="95" t="s">
        <v>22</v>
      </c>
      <c r="C80" s="95"/>
      <c r="D80" s="95"/>
      <c r="E80" s="95"/>
      <c r="F80" s="95"/>
      <c r="G80" s="95"/>
      <c r="H80" s="95"/>
      <c r="I80" s="95"/>
      <c r="J80" s="95"/>
    </row>
    <row r="81" spans="1:10" x14ac:dyDescent="0.25">
      <c r="A81" s="94" t="s">
        <v>101</v>
      </c>
      <c r="B81" s="95" t="s">
        <v>22</v>
      </c>
      <c r="C81" s="95"/>
      <c r="D81" s="95"/>
      <c r="E81" s="95"/>
      <c r="F81" s="95"/>
      <c r="G81" s="95"/>
      <c r="H81" s="95"/>
      <c r="I81" s="95"/>
      <c r="J81" s="95"/>
    </row>
    <row r="82" spans="1:10" x14ac:dyDescent="0.25">
      <c r="A82" s="94" t="s">
        <v>102</v>
      </c>
      <c r="B82" s="95" t="s">
        <v>22</v>
      </c>
      <c r="C82" s="95"/>
      <c r="D82" s="95"/>
      <c r="E82" s="95"/>
      <c r="F82" s="95"/>
      <c r="G82" s="95"/>
      <c r="H82" s="95"/>
      <c r="I82" s="95"/>
      <c r="J82" s="95"/>
    </row>
    <row r="83" spans="1:10" x14ac:dyDescent="0.25">
      <c r="A83" s="94" t="s">
        <v>103</v>
      </c>
      <c r="B83" s="95" t="s">
        <v>22</v>
      </c>
      <c r="C83" s="95"/>
      <c r="D83" s="95"/>
      <c r="E83" s="95"/>
      <c r="F83" s="95"/>
      <c r="G83" s="95"/>
      <c r="H83" s="95"/>
      <c r="I83" s="95"/>
      <c r="J83" s="95"/>
    </row>
    <row r="84" spans="1:10" x14ac:dyDescent="0.25">
      <c r="A84" s="94" t="s">
        <v>104</v>
      </c>
      <c r="B84" s="95" t="s">
        <v>22</v>
      </c>
      <c r="C84" s="95"/>
      <c r="D84" s="95"/>
      <c r="E84" s="95"/>
      <c r="F84" s="95"/>
      <c r="G84" s="95"/>
      <c r="H84" s="95"/>
      <c r="I84" s="95"/>
      <c r="J84" s="95"/>
    </row>
    <row r="85" spans="1:10" x14ac:dyDescent="0.25">
      <c r="A85" s="94" t="s">
        <v>199</v>
      </c>
      <c r="B85" s="95" t="s">
        <v>22</v>
      </c>
      <c r="C85" s="95"/>
      <c r="D85" s="95"/>
      <c r="E85" s="95"/>
      <c r="F85" s="95"/>
      <c r="G85" s="95"/>
      <c r="H85" s="95"/>
      <c r="I85" s="95"/>
      <c r="J85" s="95"/>
    </row>
    <row r="86" spans="1:10" x14ac:dyDescent="0.25">
      <c r="A86" s="94" t="s">
        <v>200</v>
      </c>
      <c r="B86" s="95" t="s">
        <v>22</v>
      </c>
      <c r="C86" s="95"/>
      <c r="D86" s="95"/>
      <c r="E86" s="95"/>
      <c r="F86" s="95"/>
      <c r="G86" s="95"/>
      <c r="H86" s="95"/>
      <c r="I86" s="95"/>
      <c r="J86" s="95"/>
    </row>
    <row r="87" spans="1:10" x14ac:dyDescent="0.25">
      <c r="A87" s="94" t="s">
        <v>201</v>
      </c>
      <c r="B87" s="95" t="s">
        <v>22</v>
      </c>
      <c r="C87" s="95"/>
      <c r="D87" s="95"/>
      <c r="E87" s="95"/>
      <c r="F87" s="95"/>
      <c r="G87" s="95"/>
      <c r="H87" s="95"/>
      <c r="I87" s="95"/>
      <c r="J87" s="95"/>
    </row>
    <row r="88" spans="1:10" x14ac:dyDescent="0.25">
      <c r="A88" s="94" t="s">
        <v>115</v>
      </c>
      <c r="B88" s="95" t="s">
        <v>22</v>
      </c>
      <c r="C88" s="95"/>
      <c r="D88" s="95"/>
      <c r="E88" s="95"/>
      <c r="F88" s="95"/>
      <c r="G88" s="95"/>
      <c r="H88" s="95"/>
      <c r="I88" s="95"/>
      <c r="J88" s="95"/>
    </row>
    <row r="89" spans="1:10" x14ac:dyDescent="0.25">
      <c r="A89" s="94" t="s">
        <v>202</v>
      </c>
      <c r="B89" s="95" t="s">
        <v>12</v>
      </c>
      <c r="C89" s="95"/>
      <c r="D89" s="95"/>
      <c r="E89" s="95"/>
      <c r="F89" s="95"/>
      <c r="G89" s="95"/>
      <c r="H89" s="95"/>
      <c r="I89" s="95"/>
      <c r="J89" s="95"/>
    </row>
    <row r="90" spans="1:10" x14ac:dyDescent="0.25">
      <c r="A90" s="94" t="s">
        <v>125</v>
      </c>
      <c r="B90" s="95" t="s">
        <v>22</v>
      </c>
      <c r="C90" s="95"/>
      <c r="D90" s="95"/>
      <c r="E90" s="95"/>
      <c r="F90" s="95"/>
      <c r="G90" s="95"/>
      <c r="H90" s="95"/>
      <c r="I90" s="95"/>
      <c r="J90" s="95"/>
    </row>
    <row r="91" spans="1:10" x14ac:dyDescent="0.25">
      <c r="A91" s="94" t="s">
        <v>203</v>
      </c>
      <c r="B91" s="95" t="s">
        <v>12</v>
      </c>
      <c r="C91" s="95"/>
      <c r="D91" s="95"/>
      <c r="E91" s="95"/>
      <c r="F91" s="95"/>
      <c r="G91" s="95"/>
      <c r="H91" s="95"/>
      <c r="I91" s="95"/>
      <c r="J91" s="95"/>
    </row>
    <row r="92" spans="1:10" x14ac:dyDescent="0.25">
      <c r="A92" s="94" t="s">
        <v>204</v>
      </c>
      <c r="B92" s="95" t="s">
        <v>12</v>
      </c>
      <c r="C92" s="95"/>
      <c r="D92" s="95"/>
      <c r="E92" s="95"/>
      <c r="F92" s="95"/>
      <c r="G92" s="95"/>
      <c r="H92" s="95"/>
      <c r="I92" s="95"/>
      <c r="J92" s="95"/>
    </row>
    <row r="93" spans="1:10" x14ac:dyDescent="0.25">
      <c r="A93" s="94" t="s">
        <v>205</v>
      </c>
      <c r="B93" s="95" t="s">
        <v>12</v>
      </c>
      <c r="C93" s="95"/>
      <c r="D93" s="95"/>
      <c r="E93" s="95"/>
      <c r="F93" s="95"/>
      <c r="G93" s="95"/>
      <c r="H93" s="95"/>
      <c r="I93" s="95"/>
      <c r="J93" s="95"/>
    </row>
    <row r="94" spans="1:10" x14ac:dyDescent="0.25">
      <c r="A94" s="94" t="s">
        <v>206</v>
      </c>
      <c r="B94" s="95" t="s">
        <v>22</v>
      </c>
      <c r="C94" s="95"/>
      <c r="D94" s="95"/>
      <c r="E94" s="95"/>
      <c r="F94" s="95"/>
      <c r="G94" s="95"/>
      <c r="H94" s="95"/>
      <c r="I94" s="95"/>
      <c r="J94" s="95"/>
    </row>
    <row r="95" spans="1:10" x14ac:dyDescent="0.25">
      <c r="A95" s="94" t="s">
        <v>207</v>
      </c>
      <c r="B95" s="95" t="s">
        <v>22</v>
      </c>
      <c r="C95" s="95"/>
      <c r="D95" s="95"/>
      <c r="E95" s="95"/>
      <c r="F95" s="95"/>
      <c r="G95" s="95"/>
      <c r="H95" s="95"/>
      <c r="I95" s="95"/>
      <c r="J95" s="95"/>
    </row>
    <row r="96" spans="1:10" x14ac:dyDescent="0.25">
      <c r="A96" s="94" t="s">
        <v>208</v>
      </c>
      <c r="B96" s="95" t="s">
        <v>22</v>
      </c>
      <c r="C96" s="95"/>
      <c r="D96" s="95"/>
      <c r="E96" s="95"/>
      <c r="F96" s="95"/>
      <c r="G96" s="95"/>
      <c r="H96" s="95"/>
      <c r="I96" s="95"/>
      <c r="J96" s="95"/>
    </row>
    <row r="97" spans="1:10" x14ac:dyDescent="0.25">
      <c r="A97" s="94" t="s">
        <v>119</v>
      </c>
      <c r="B97" s="95" t="s">
        <v>22</v>
      </c>
      <c r="C97" s="95"/>
      <c r="D97" s="95"/>
      <c r="E97" s="95"/>
      <c r="F97" s="95"/>
      <c r="G97" s="95"/>
      <c r="H97" s="95"/>
      <c r="I97" s="95"/>
      <c r="J97" s="95"/>
    </row>
    <row r="98" spans="1:10" x14ac:dyDescent="0.25">
      <c r="A98" s="94" t="s">
        <v>126</v>
      </c>
      <c r="B98" s="95" t="s">
        <v>22</v>
      </c>
      <c r="C98" s="95"/>
      <c r="D98" s="95"/>
      <c r="E98" s="95"/>
      <c r="F98" s="95"/>
      <c r="G98" s="95"/>
      <c r="H98" s="95"/>
      <c r="I98" s="95"/>
      <c r="J98" s="95"/>
    </row>
    <row r="99" spans="1:10" x14ac:dyDescent="0.25">
      <c r="A99" s="94" t="s">
        <v>127</v>
      </c>
      <c r="B99" s="95" t="s">
        <v>22</v>
      </c>
      <c r="C99" s="95"/>
      <c r="D99" s="95"/>
      <c r="E99" s="95"/>
      <c r="F99" s="95"/>
      <c r="G99" s="95"/>
      <c r="H99" s="95"/>
      <c r="I99" s="95"/>
      <c r="J99" s="95"/>
    </row>
    <row r="100" spans="1:10" x14ac:dyDescent="0.25">
      <c r="A100" s="94" t="s">
        <v>117</v>
      </c>
      <c r="B100" s="95" t="s">
        <v>22</v>
      </c>
      <c r="C100" s="95"/>
      <c r="D100" s="95"/>
      <c r="E100" s="95"/>
      <c r="F100" s="95"/>
      <c r="G100" s="95"/>
      <c r="H100" s="95"/>
      <c r="I100" s="95"/>
      <c r="J100" s="95"/>
    </row>
    <row r="101" spans="1:10" x14ac:dyDescent="0.25">
      <c r="A101" s="94" t="s">
        <v>209</v>
      </c>
      <c r="B101" s="95" t="s">
        <v>22</v>
      </c>
      <c r="C101" s="95"/>
      <c r="D101" s="95"/>
      <c r="E101" s="95"/>
      <c r="F101" s="95"/>
      <c r="G101" s="95"/>
      <c r="H101" s="95"/>
      <c r="I101" s="95"/>
      <c r="J101" s="95"/>
    </row>
    <row r="102" spans="1:10" x14ac:dyDescent="0.25">
      <c r="A102" s="94" t="s">
        <v>121</v>
      </c>
      <c r="B102" s="95" t="s">
        <v>22</v>
      </c>
      <c r="C102" s="95"/>
      <c r="D102" s="95"/>
      <c r="E102" s="95"/>
      <c r="F102" s="95"/>
      <c r="G102" s="95"/>
      <c r="H102" s="95"/>
      <c r="I102" s="95"/>
      <c r="J102" s="95"/>
    </row>
    <row r="103" spans="1:10" x14ac:dyDescent="0.25">
      <c r="A103" s="96" t="s">
        <v>183</v>
      </c>
      <c r="B103" s="67"/>
      <c r="C103" s="67"/>
      <c r="D103" s="67"/>
      <c r="E103" s="67"/>
      <c r="F103" s="67"/>
      <c r="G103" s="67"/>
      <c r="H103" s="67"/>
      <c r="I103" s="67"/>
      <c r="J103" s="67"/>
    </row>
  </sheetData>
  <mergeCells count="8">
    <mergeCell ref="A74:J74"/>
    <mergeCell ref="A56:J56"/>
    <mergeCell ref="A66:J66"/>
    <mergeCell ref="A9:B9"/>
    <mergeCell ref="A1:J1"/>
    <mergeCell ref="A12:B12"/>
    <mergeCell ref="A20:J20"/>
    <mergeCell ref="A34:J34"/>
  </mergeCells>
  <pageMargins left="0" right="0" top="0.25" bottom="0.25" header="0.5" footer="0.5"/>
  <pageSetup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7"/>
  <sheetViews>
    <sheetView workbookViewId="0">
      <pane ySplit="3" topLeftCell="A4" activePane="bottomLeft" state="frozen"/>
      <selection pane="bottomLeft" activeCell="N12" sqref="N12"/>
    </sheetView>
  </sheetViews>
  <sheetFormatPr defaultRowHeight="15" x14ac:dyDescent="0.25"/>
  <cols>
    <col min="1" max="1" width="20" customWidth="1"/>
    <col min="2" max="2" width="14" customWidth="1"/>
    <col min="3" max="4" width="16" customWidth="1"/>
    <col min="5" max="6" width="20" customWidth="1"/>
    <col min="7" max="7" width="14" customWidth="1"/>
    <col min="8" max="8" width="36" customWidth="1"/>
    <col min="9" max="9" width="16" customWidth="1"/>
    <col min="10" max="10" width="14" customWidth="1"/>
    <col min="11" max="11" width="12" customWidth="1"/>
  </cols>
  <sheetData>
    <row r="1" spans="1:8" ht="36" customHeight="1" x14ac:dyDescent="0.25">
      <c r="A1" s="72" t="s">
        <v>0</v>
      </c>
      <c r="B1" s="73"/>
      <c r="C1" s="73"/>
      <c r="D1" s="73"/>
      <c r="E1" s="73"/>
      <c r="F1" s="73"/>
      <c r="G1" s="73"/>
      <c r="H1" s="73"/>
    </row>
    <row r="2" spans="1:8" ht="18" customHeight="1" x14ac:dyDescent="0.25">
      <c r="A2" s="77" t="s">
        <v>1</v>
      </c>
      <c r="B2" s="73"/>
      <c r="C2" s="73"/>
      <c r="D2" s="73"/>
      <c r="E2" s="73"/>
      <c r="F2" s="73"/>
      <c r="G2" s="73"/>
      <c r="H2" s="73"/>
    </row>
    <row r="3" spans="1:8" ht="33.950000000000003" customHeight="1" x14ac:dyDescent="0.25">
      <c r="A3" s="1" t="s">
        <v>2</v>
      </c>
      <c r="B3" s="1" t="s">
        <v>3</v>
      </c>
      <c r="C3" s="1" t="s">
        <v>4</v>
      </c>
      <c r="D3" s="2" t="s">
        <v>5</v>
      </c>
      <c r="E3" s="1" t="s">
        <v>6</v>
      </c>
      <c r="F3" s="3" t="s">
        <v>7</v>
      </c>
      <c r="G3" s="1" t="s">
        <v>8</v>
      </c>
      <c r="H3" s="1" t="s">
        <v>9</v>
      </c>
    </row>
    <row r="4" spans="1:8" ht="17.100000000000001" customHeight="1" x14ac:dyDescent="0.25">
      <c r="A4" s="4" t="s">
        <v>10</v>
      </c>
      <c r="B4" s="5" t="s">
        <v>11</v>
      </c>
      <c r="C4" s="6" t="s">
        <v>12</v>
      </c>
      <c r="D4" s="12">
        <v>0.51700000000000002</v>
      </c>
      <c r="E4" s="13">
        <f>'PFC Product'!K4</f>
        <v>43</v>
      </c>
      <c r="F4" s="14">
        <f t="shared" ref="F4:F35" si="0">IFERROR(D4*E4,0)</f>
        <v>22.231000000000002</v>
      </c>
      <c r="G4" s="7" t="str">
        <f t="shared" ref="G4:G35" si="1">IF(E4&gt;0,IF(E4&gt;=10,"🔴 High Waste",IF(E4&gt;=5,"🟠 Moderate","🟢 Low")),"—")</f>
        <v>🔴 High Waste</v>
      </c>
      <c r="H4" s="45" t="s">
        <v>13</v>
      </c>
    </row>
    <row r="5" spans="1:8" ht="17.100000000000001" customHeight="1" x14ac:dyDescent="0.25">
      <c r="A5" s="4" t="s">
        <v>10</v>
      </c>
      <c r="B5" s="5" t="s">
        <v>14</v>
      </c>
      <c r="C5" s="6" t="s">
        <v>12</v>
      </c>
      <c r="D5" s="12">
        <v>0.78700000000000003</v>
      </c>
      <c r="E5" s="13">
        <f>'PFC Product'!K5</f>
        <v>33</v>
      </c>
      <c r="F5" s="14">
        <f t="shared" si="0"/>
        <v>25.971</v>
      </c>
      <c r="G5" s="7" t="str">
        <f t="shared" si="1"/>
        <v>🔴 High Waste</v>
      </c>
      <c r="H5" s="45" t="s">
        <v>13</v>
      </c>
    </row>
    <row r="6" spans="1:8" ht="17.100000000000001" customHeight="1" x14ac:dyDescent="0.25">
      <c r="A6" s="4" t="s">
        <v>10</v>
      </c>
      <c r="B6" s="5" t="s">
        <v>15</v>
      </c>
      <c r="C6" s="6" t="s">
        <v>12</v>
      </c>
      <c r="D6" s="12">
        <v>0.32700000000000001</v>
      </c>
      <c r="E6" s="13">
        <f>'PFC Product'!K6</f>
        <v>44</v>
      </c>
      <c r="F6" s="14">
        <f t="shared" si="0"/>
        <v>14.388</v>
      </c>
      <c r="G6" s="7" t="str">
        <f t="shared" si="1"/>
        <v>🔴 High Waste</v>
      </c>
      <c r="H6" s="45" t="s">
        <v>13</v>
      </c>
    </row>
    <row r="7" spans="1:8" ht="17.100000000000001" customHeight="1" x14ac:dyDescent="0.25">
      <c r="A7" s="4" t="s">
        <v>10</v>
      </c>
      <c r="B7" s="5" t="s">
        <v>16</v>
      </c>
      <c r="C7" s="6" t="s">
        <v>12</v>
      </c>
      <c r="D7" s="12">
        <v>3.7069999999999999</v>
      </c>
      <c r="E7" s="13">
        <f>'PFC Product'!K7</f>
        <v>37</v>
      </c>
      <c r="F7" s="14">
        <f t="shared" si="0"/>
        <v>137.15899999999999</v>
      </c>
      <c r="G7" s="7" t="str">
        <f t="shared" si="1"/>
        <v>🔴 High Waste</v>
      </c>
      <c r="H7" s="45" t="s">
        <v>13</v>
      </c>
    </row>
    <row r="8" spans="1:8" ht="17.100000000000001" customHeight="1" x14ac:dyDescent="0.25">
      <c r="A8" s="4" t="s">
        <v>10</v>
      </c>
      <c r="B8" s="5" t="s">
        <v>17</v>
      </c>
      <c r="C8" s="6" t="s">
        <v>12</v>
      </c>
      <c r="D8" s="12">
        <v>0.3</v>
      </c>
      <c r="E8" s="13">
        <f>'PFC Product'!K8</f>
        <v>134</v>
      </c>
      <c r="F8" s="14">
        <f t="shared" si="0"/>
        <v>40.199999999999996</v>
      </c>
      <c r="G8" s="7" t="str">
        <f t="shared" si="1"/>
        <v>🔴 High Waste</v>
      </c>
      <c r="H8" s="45" t="s">
        <v>18</v>
      </c>
    </row>
    <row r="9" spans="1:8" ht="17.100000000000001" customHeight="1" x14ac:dyDescent="0.25">
      <c r="A9" s="4" t="s">
        <v>10</v>
      </c>
      <c r="B9" s="5" t="s">
        <v>19</v>
      </c>
      <c r="C9" s="6" t="s">
        <v>12</v>
      </c>
      <c r="D9" s="12">
        <v>2.1269999999999998</v>
      </c>
      <c r="E9" s="13">
        <f>'PFC Product'!K9</f>
        <v>8</v>
      </c>
      <c r="F9" s="14">
        <f t="shared" si="0"/>
        <v>17.015999999999998</v>
      </c>
      <c r="G9" s="7" t="str">
        <f t="shared" si="1"/>
        <v>🟠 Moderate</v>
      </c>
      <c r="H9" s="45" t="s">
        <v>20</v>
      </c>
    </row>
    <row r="10" spans="1:8" ht="17.100000000000001" customHeight="1" x14ac:dyDescent="0.25">
      <c r="A10" s="4" t="s">
        <v>10</v>
      </c>
      <c r="B10" s="5" t="s">
        <v>21</v>
      </c>
      <c r="C10" s="6" t="s">
        <v>22</v>
      </c>
      <c r="D10" s="12">
        <v>1.34</v>
      </c>
      <c r="E10" s="13">
        <f>'PFC Product'!K12</f>
        <v>0</v>
      </c>
      <c r="F10" s="14">
        <f t="shared" si="0"/>
        <v>0</v>
      </c>
      <c r="G10" s="7" t="str">
        <f t="shared" si="1"/>
        <v>—</v>
      </c>
      <c r="H10" s="45" t="s">
        <v>20</v>
      </c>
    </row>
    <row r="11" spans="1:8" ht="17.100000000000001" customHeight="1" x14ac:dyDescent="0.25">
      <c r="A11" s="4" t="s">
        <v>10</v>
      </c>
      <c r="B11" s="5" t="s">
        <v>23</v>
      </c>
      <c r="C11" s="6" t="s">
        <v>22</v>
      </c>
      <c r="D11" s="12">
        <v>1.34</v>
      </c>
      <c r="E11" s="13">
        <f>'PFC Product'!K13</f>
        <v>0</v>
      </c>
      <c r="F11" s="14">
        <f t="shared" si="0"/>
        <v>0</v>
      </c>
      <c r="G11" s="7" t="str">
        <f t="shared" si="1"/>
        <v>—</v>
      </c>
      <c r="H11" s="45" t="s">
        <v>24</v>
      </c>
    </row>
    <row r="12" spans="1:8" ht="17.100000000000001" customHeight="1" x14ac:dyDescent="0.25">
      <c r="A12" s="4" t="s">
        <v>10</v>
      </c>
      <c r="B12" s="5" t="s">
        <v>25</v>
      </c>
      <c r="C12" s="6" t="s">
        <v>22</v>
      </c>
      <c r="D12" s="12">
        <v>1.34</v>
      </c>
      <c r="E12" s="13">
        <f>'PFC Product'!K16</f>
        <v>13</v>
      </c>
      <c r="F12" s="14">
        <f t="shared" si="0"/>
        <v>17.420000000000002</v>
      </c>
      <c r="G12" s="7" t="str">
        <f t="shared" si="1"/>
        <v>🔴 High Waste</v>
      </c>
      <c r="H12" s="45" t="s">
        <v>26</v>
      </c>
    </row>
    <row r="13" spans="1:8" ht="17.100000000000001" customHeight="1" x14ac:dyDescent="0.25">
      <c r="A13" s="4" t="s">
        <v>10</v>
      </c>
      <c r="B13" s="5" t="s">
        <v>27</v>
      </c>
      <c r="C13" s="6" t="s">
        <v>22</v>
      </c>
      <c r="D13" s="12">
        <v>1.34</v>
      </c>
      <c r="E13" s="13">
        <f>'PFC Product'!K17</f>
        <v>5</v>
      </c>
      <c r="F13" s="14">
        <f t="shared" si="0"/>
        <v>6.7</v>
      </c>
      <c r="G13" s="7" t="str">
        <f t="shared" si="1"/>
        <v>🟠 Moderate</v>
      </c>
      <c r="H13" s="45" t="s">
        <v>28</v>
      </c>
    </row>
    <row r="14" spans="1:8" ht="17.100000000000001" customHeight="1" x14ac:dyDescent="0.25">
      <c r="A14" s="4" t="s">
        <v>10</v>
      </c>
      <c r="B14" s="5" t="s">
        <v>29</v>
      </c>
      <c r="C14" s="6" t="s">
        <v>22</v>
      </c>
      <c r="D14" s="12">
        <v>0.6</v>
      </c>
      <c r="E14" s="13">
        <f>'PFC Product'!K18</f>
        <v>0</v>
      </c>
      <c r="F14" s="14">
        <f t="shared" si="0"/>
        <v>0</v>
      </c>
      <c r="G14" s="7" t="str">
        <f t="shared" si="1"/>
        <v>—</v>
      </c>
      <c r="H14" s="45" t="s">
        <v>28</v>
      </c>
    </row>
    <row r="15" spans="1:8" ht="17.100000000000001" customHeight="1" x14ac:dyDescent="0.25">
      <c r="A15" s="4" t="s">
        <v>10</v>
      </c>
      <c r="B15" s="5" t="s">
        <v>30</v>
      </c>
      <c r="C15" s="6" t="s">
        <v>22</v>
      </c>
      <c r="D15" s="12">
        <v>1.34</v>
      </c>
      <c r="E15" s="13">
        <f>'PFC Product'!K19</f>
        <v>13</v>
      </c>
      <c r="F15" s="14">
        <f t="shared" si="0"/>
        <v>17.420000000000002</v>
      </c>
      <c r="G15" s="7" t="str">
        <f t="shared" si="1"/>
        <v>🔴 High Waste</v>
      </c>
      <c r="H15" s="45" t="s">
        <v>31</v>
      </c>
    </row>
    <row r="16" spans="1:8" ht="17.100000000000001" customHeight="1" x14ac:dyDescent="0.25">
      <c r="A16" s="4" t="s">
        <v>10</v>
      </c>
      <c r="B16" s="5" t="s">
        <v>32</v>
      </c>
      <c r="C16" s="6" t="s">
        <v>22</v>
      </c>
      <c r="D16" s="12">
        <v>1.34</v>
      </c>
      <c r="E16" s="13">
        <f>'PFC Product'!K20</f>
        <v>3</v>
      </c>
      <c r="F16" s="14">
        <f t="shared" si="0"/>
        <v>4.0200000000000005</v>
      </c>
      <c r="G16" s="7" t="str">
        <f t="shared" si="1"/>
        <v>🟢 Low</v>
      </c>
      <c r="H16" s="45" t="s">
        <v>26</v>
      </c>
    </row>
    <row r="17" spans="1:8" ht="17.100000000000001" customHeight="1" x14ac:dyDescent="0.25">
      <c r="A17" s="4" t="s">
        <v>33</v>
      </c>
      <c r="B17" s="5" t="s">
        <v>34</v>
      </c>
      <c r="C17" s="6" t="s">
        <v>35</v>
      </c>
      <c r="D17" s="12">
        <v>10.75</v>
      </c>
      <c r="E17" s="13">
        <f>'Pronto Product'!K4</f>
        <v>11</v>
      </c>
      <c r="F17" s="14">
        <f t="shared" si="0"/>
        <v>118.25</v>
      </c>
      <c r="G17" s="7" t="str">
        <f t="shared" si="1"/>
        <v>🔴 High Waste</v>
      </c>
      <c r="H17" s="45" t="s">
        <v>36</v>
      </c>
    </row>
    <row r="18" spans="1:8" ht="17.100000000000001" customHeight="1" x14ac:dyDescent="0.25">
      <c r="A18" s="4" t="s">
        <v>33</v>
      </c>
      <c r="B18" s="5" t="s">
        <v>37</v>
      </c>
      <c r="C18" s="6" t="s">
        <v>35</v>
      </c>
      <c r="D18" s="12">
        <v>13.45</v>
      </c>
      <c r="E18" s="13">
        <f>'Pronto Product'!K5</f>
        <v>6</v>
      </c>
      <c r="F18" s="14">
        <f t="shared" si="0"/>
        <v>80.699999999999989</v>
      </c>
      <c r="G18" s="7" t="str">
        <f t="shared" si="1"/>
        <v>🟠 Moderate</v>
      </c>
      <c r="H18" s="45" t="s">
        <v>36</v>
      </c>
    </row>
    <row r="19" spans="1:8" ht="17.100000000000001" customHeight="1" x14ac:dyDescent="0.25">
      <c r="A19" s="4" t="s">
        <v>33</v>
      </c>
      <c r="B19" s="5" t="s">
        <v>38</v>
      </c>
      <c r="C19" s="6" t="s">
        <v>35</v>
      </c>
      <c r="D19" s="12">
        <v>11.54</v>
      </c>
      <c r="E19" s="13">
        <f>'Pronto Product'!K6</f>
        <v>10</v>
      </c>
      <c r="F19" s="14">
        <f t="shared" si="0"/>
        <v>115.39999999999999</v>
      </c>
      <c r="G19" s="7" t="str">
        <f t="shared" si="1"/>
        <v>🔴 High Waste</v>
      </c>
      <c r="H19" s="45" t="s">
        <v>36</v>
      </c>
    </row>
    <row r="20" spans="1:8" ht="17.100000000000001" customHeight="1" x14ac:dyDescent="0.25">
      <c r="A20" s="4" t="s">
        <v>33</v>
      </c>
      <c r="B20" s="5" t="s">
        <v>39</v>
      </c>
      <c r="C20" s="6" t="s">
        <v>35</v>
      </c>
      <c r="D20" s="12">
        <v>15.85</v>
      </c>
      <c r="E20" s="13">
        <f>'Pronto Product'!K7</f>
        <v>14</v>
      </c>
      <c r="F20" s="14">
        <f t="shared" si="0"/>
        <v>221.9</v>
      </c>
      <c r="G20" s="7" t="str">
        <f t="shared" si="1"/>
        <v>🔴 High Waste</v>
      </c>
      <c r="H20" s="45" t="s">
        <v>40</v>
      </c>
    </row>
    <row r="21" spans="1:8" ht="17.100000000000001" customHeight="1" x14ac:dyDescent="0.25">
      <c r="A21" s="4" t="s">
        <v>33</v>
      </c>
      <c r="B21" s="5" t="s">
        <v>41</v>
      </c>
      <c r="C21" s="6" t="s">
        <v>35</v>
      </c>
      <c r="D21" s="12">
        <v>9.14</v>
      </c>
      <c r="E21" s="13">
        <f>'Pronto Product'!K8</f>
        <v>3</v>
      </c>
      <c r="F21" s="14">
        <f t="shared" si="0"/>
        <v>27.42</v>
      </c>
      <c r="G21" s="7" t="str">
        <f t="shared" si="1"/>
        <v>🟢 Low</v>
      </c>
      <c r="H21" s="45" t="s">
        <v>36</v>
      </c>
    </row>
    <row r="22" spans="1:8" ht="17.100000000000001" customHeight="1" x14ac:dyDescent="0.25">
      <c r="A22" s="4" t="s">
        <v>33</v>
      </c>
      <c r="B22" s="5" t="s">
        <v>42</v>
      </c>
      <c r="C22" s="6" t="s">
        <v>12</v>
      </c>
      <c r="D22" s="12">
        <v>0.54</v>
      </c>
      <c r="E22" s="13">
        <f>'Pronto Product'!K9</f>
        <v>14</v>
      </c>
      <c r="F22" s="14">
        <f t="shared" si="0"/>
        <v>7.5600000000000005</v>
      </c>
      <c r="G22" s="7" t="str">
        <f t="shared" si="1"/>
        <v>🔴 High Waste</v>
      </c>
      <c r="H22" s="45" t="s">
        <v>43</v>
      </c>
    </row>
    <row r="23" spans="1:8" ht="17.100000000000001" customHeight="1" x14ac:dyDescent="0.25">
      <c r="A23" s="4" t="s">
        <v>33</v>
      </c>
      <c r="B23" s="5" t="s">
        <v>44</v>
      </c>
      <c r="C23" s="6" t="s">
        <v>45</v>
      </c>
      <c r="D23" s="12">
        <v>2.87</v>
      </c>
      <c r="E23" s="13">
        <f>'Pronto Product'!K10</f>
        <v>4.5</v>
      </c>
      <c r="F23" s="14">
        <f t="shared" si="0"/>
        <v>12.915000000000001</v>
      </c>
      <c r="G23" s="7" t="str">
        <f t="shared" si="1"/>
        <v>🟢 Low</v>
      </c>
      <c r="H23" s="45" t="s">
        <v>46</v>
      </c>
    </row>
    <row r="24" spans="1:8" ht="17.100000000000001" customHeight="1" x14ac:dyDescent="0.25">
      <c r="A24" s="4" t="s">
        <v>33</v>
      </c>
      <c r="B24" s="5" t="s">
        <v>47</v>
      </c>
      <c r="C24" s="6" t="s">
        <v>12</v>
      </c>
      <c r="D24" s="12">
        <v>2.44</v>
      </c>
      <c r="E24" s="13">
        <f>'Pronto Product'!K11</f>
        <v>0</v>
      </c>
      <c r="F24" s="14">
        <f t="shared" si="0"/>
        <v>0</v>
      </c>
      <c r="G24" s="7" t="str">
        <f t="shared" si="1"/>
        <v>—</v>
      </c>
      <c r="H24" s="45" t="s">
        <v>46</v>
      </c>
    </row>
    <row r="25" spans="1:8" ht="17.100000000000001" customHeight="1" x14ac:dyDescent="0.25">
      <c r="A25" s="4" t="s">
        <v>33</v>
      </c>
      <c r="B25" s="5" t="s">
        <v>48</v>
      </c>
      <c r="C25" s="6" t="s">
        <v>22</v>
      </c>
      <c r="D25" s="12">
        <v>2.92</v>
      </c>
      <c r="E25" s="13">
        <f>'Pronto Product'!K12</f>
        <v>0</v>
      </c>
      <c r="F25" s="14">
        <f t="shared" si="0"/>
        <v>0</v>
      </c>
      <c r="G25" s="7" t="str">
        <f t="shared" si="1"/>
        <v>—</v>
      </c>
      <c r="H25" s="45" t="s">
        <v>46</v>
      </c>
    </row>
    <row r="26" spans="1:8" ht="17.100000000000001" customHeight="1" x14ac:dyDescent="0.25">
      <c r="A26" s="4" t="s">
        <v>33</v>
      </c>
      <c r="B26" s="5" t="s">
        <v>49</v>
      </c>
      <c r="C26" s="6" t="s">
        <v>12</v>
      </c>
      <c r="D26" s="12">
        <v>2.82</v>
      </c>
      <c r="E26" s="13">
        <f>'Pronto Product'!K13</f>
        <v>31</v>
      </c>
      <c r="F26" s="14">
        <f t="shared" si="0"/>
        <v>87.42</v>
      </c>
      <c r="G26" s="7" t="str">
        <f t="shared" si="1"/>
        <v>🔴 High Waste</v>
      </c>
      <c r="H26" s="45" t="s">
        <v>46</v>
      </c>
    </row>
    <row r="27" spans="1:8" ht="17.100000000000001" customHeight="1" x14ac:dyDescent="0.25">
      <c r="A27" s="4" t="s">
        <v>50</v>
      </c>
      <c r="B27" s="5" t="s">
        <v>51</v>
      </c>
      <c r="C27" s="6" t="s">
        <v>52</v>
      </c>
      <c r="D27" s="12">
        <v>1.8</v>
      </c>
      <c r="E27" s="13">
        <f>'Little Wok'!K4</f>
        <v>13.5</v>
      </c>
      <c r="F27" s="14">
        <f t="shared" si="0"/>
        <v>24.3</v>
      </c>
      <c r="G27" s="7" t="str">
        <f t="shared" si="1"/>
        <v>🔴 High Waste</v>
      </c>
      <c r="H27" s="45" t="s">
        <v>53</v>
      </c>
    </row>
    <row r="28" spans="1:8" ht="17.100000000000001" customHeight="1" x14ac:dyDescent="0.25">
      <c r="A28" s="4" t="s">
        <v>50</v>
      </c>
      <c r="B28" s="5" t="s">
        <v>54</v>
      </c>
      <c r="C28" s="6" t="s">
        <v>52</v>
      </c>
      <c r="D28" s="12">
        <v>4.3550000000000004</v>
      </c>
      <c r="E28" s="13">
        <f>'Little Wok'!K5</f>
        <v>12.5</v>
      </c>
      <c r="F28" s="14">
        <f t="shared" si="0"/>
        <v>54.437500000000007</v>
      </c>
      <c r="G28" s="7" t="str">
        <f t="shared" si="1"/>
        <v>🔴 High Waste</v>
      </c>
      <c r="H28" s="45" t="s">
        <v>55</v>
      </c>
    </row>
    <row r="29" spans="1:8" ht="17.100000000000001" customHeight="1" x14ac:dyDescent="0.25">
      <c r="A29" s="4" t="s">
        <v>50</v>
      </c>
      <c r="B29" s="5" t="s">
        <v>56</v>
      </c>
      <c r="C29" s="6" t="s">
        <v>52</v>
      </c>
      <c r="D29" s="12">
        <v>3.9</v>
      </c>
      <c r="E29" s="13">
        <f>'Little Wok'!K6</f>
        <v>12.5</v>
      </c>
      <c r="F29" s="14">
        <f t="shared" si="0"/>
        <v>48.75</v>
      </c>
      <c r="G29" s="7" t="str">
        <f t="shared" si="1"/>
        <v>🔴 High Waste</v>
      </c>
      <c r="H29" s="45" t="s">
        <v>53</v>
      </c>
    </row>
    <row r="30" spans="1:8" ht="17.100000000000001" customHeight="1" x14ac:dyDescent="0.25">
      <c r="A30" s="4" t="s">
        <v>50</v>
      </c>
      <c r="B30" s="5" t="s">
        <v>57</v>
      </c>
      <c r="C30" s="6" t="s">
        <v>52</v>
      </c>
      <c r="D30" s="12">
        <v>6.2450000000000001</v>
      </c>
      <c r="E30" s="13">
        <f>'Little Wok'!K7</f>
        <v>5.5</v>
      </c>
      <c r="F30" s="14">
        <f t="shared" si="0"/>
        <v>34.347500000000004</v>
      </c>
      <c r="G30" s="7" t="str">
        <f t="shared" si="1"/>
        <v>🟠 Moderate</v>
      </c>
      <c r="H30" s="45" t="s">
        <v>55</v>
      </c>
    </row>
    <row r="31" spans="1:8" ht="17.100000000000001" customHeight="1" x14ac:dyDescent="0.25">
      <c r="A31" s="4" t="s">
        <v>50</v>
      </c>
      <c r="B31" s="5" t="s">
        <v>58</v>
      </c>
      <c r="C31" s="6" t="s">
        <v>52</v>
      </c>
      <c r="D31" s="12">
        <v>4</v>
      </c>
      <c r="E31" s="13">
        <f>'Little Wok'!K8</f>
        <v>24</v>
      </c>
      <c r="F31" s="14">
        <f t="shared" si="0"/>
        <v>96</v>
      </c>
      <c r="G31" s="7" t="str">
        <f t="shared" si="1"/>
        <v>🔴 High Waste</v>
      </c>
      <c r="H31" s="45" t="s">
        <v>59</v>
      </c>
    </row>
    <row r="32" spans="1:8" ht="17.100000000000001" customHeight="1" x14ac:dyDescent="0.25">
      <c r="A32" s="4" t="s">
        <v>50</v>
      </c>
      <c r="B32" s="5" t="s">
        <v>60</v>
      </c>
      <c r="C32" s="6" t="s">
        <v>52</v>
      </c>
      <c r="D32" s="12">
        <v>1.45</v>
      </c>
      <c r="E32" s="13">
        <f>'Little Wok'!K9</f>
        <v>8.5</v>
      </c>
      <c r="F32" s="14">
        <f t="shared" si="0"/>
        <v>12.324999999999999</v>
      </c>
      <c r="G32" s="7" t="str">
        <f t="shared" si="1"/>
        <v>🟠 Moderate</v>
      </c>
      <c r="H32" s="45" t="s">
        <v>61</v>
      </c>
    </row>
    <row r="33" spans="1:8" ht="17.100000000000001" customHeight="1" x14ac:dyDescent="0.25">
      <c r="A33" s="4" t="s">
        <v>50</v>
      </c>
      <c r="B33" s="5" t="s">
        <v>62</v>
      </c>
      <c r="C33" s="6" t="s">
        <v>52</v>
      </c>
      <c r="D33" s="12">
        <v>0.85</v>
      </c>
      <c r="E33" s="13">
        <f>'Little Wok'!K10</f>
        <v>6.5</v>
      </c>
      <c r="F33" s="14">
        <f t="shared" si="0"/>
        <v>5.5249999999999995</v>
      </c>
      <c r="G33" s="7" t="str">
        <f t="shared" si="1"/>
        <v>🟠 Moderate</v>
      </c>
      <c r="H33" s="45" t="s">
        <v>53</v>
      </c>
    </row>
    <row r="34" spans="1:8" ht="17.100000000000001" customHeight="1" x14ac:dyDescent="0.25">
      <c r="A34" s="4" t="s">
        <v>50</v>
      </c>
      <c r="B34" s="5" t="s">
        <v>63</v>
      </c>
      <c r="C34" s="6" t="s">
        <v>52</v>
      </c>
      <c r="D34" s="12">
        <v>1.03</v>
      </c>
      <c r="E34" s="13">
        <f>'Little Wok'!K11</f>
        <v>7</v>
      </c>
      <c r="F34" s="14">
        <f t="shared" si="0"/>
        <v>7.21</v>
      </c>
      <c r="G34" s="7" t="str">
        <f t="shared" si="1"/>
        <v>🟠 Moderate</v>
      </c>
      <c r="H34" s="45" t="s">
        <v>61</v>
      </c>
    </row>
    <row r="35" spans="1:8" ht="17.100000000000001" customHeight="1" x14ac:dyDescent="0.25">
      <c r="A35" s="4" t="s">
        <v>50</v>
      </c>
      <c r="B35" s="5" t="s">
        <v>64</v>
      </c>
      <c r="C35" s="6" t="s">
        <v>52</v>
      </c>
      <c r="D35" s="12">
        <v>1.75</v>
      </c>
      <c r="E35" s="13">
        <f>'Little Wok'!K12</f>
        <v>10.5</v>
      </c>
      <c r="F35" s="14">
        <f t="shared" si="0"/>
        <v>18.375</v>
      </c>
      <c r="G35" s="7" t="str">
        <f t="shared" si="1"/>
        <v>🔴 High Waste</v>
      </c>
      <c r="H35" s="45" t="s">
        <v>55</v>
      </c>
    </row>
    <row r="36" spans="1:8" ht="17.100000000000001" customHeight="1" x14ac:dyDescent="0.25">
      <c r="A36" s="4" t="s">
        <v>50</v>
      </c>
      <c r="B36" s="5" t="s">
        <v>65</v>
      </c>
      <c r="C36" s="6" t="s">
        <v>52</v>
      </c>
      <c r="D36" s="12">
        <v>1.49</v>
      </c>
      <c r="E36" s="13">
        <f>'Little Wok'!K13</f>
        <v>4.5</v>
      </c>
      <c r="F36" s="14">
        <f t="shared" ref="F36:F67" si="2">IFERROR(D36*E36,0)</f>
        <v>6.7050000000000001</v>
      </c>
      <c r="G36" s="7" t="str">
        <f t="shared" ref="G36:G67" si="3">IF(E36&gt;0,IF(E36&gt;=10,"🔴 High Waste",IF(E36&gt;=5,"🟠 Moderate","🟢 Low")),"—")</f>
        <v>🟢 Low</v>
      </c>
      <c r="H36" s="45" t="s">
        <v>61</v>
      </c>
    </row>
    <row r="37" spans="1:8" ht="17.100000000000001" customHeight="1" x14ac:dyDescent="0.25">
      <c r="A37" s="4" t="s">
        <v>50</v>
      </c>
      <c r="B37" s="5" t="s">
        <v>66</v>
      </c>
      <c r="C37" s="6" t="s">
        <v>52</v>
      </c>
      <c r="D37" s="12">
        <v>2.2999999999999998</v>
      </c>
      <c r="E37" s="13">
        <f>'Little Wok'!K14</f>
        <v>8.5</v>
      </c>
      <c r="F37" s="14">
        <f t="shared" si="2"/>
        <v>19.549999999999997</v>
      </c>
      <c r="G37" s="7" t="str">
        <f t="shared" si="3"/>
        <v>🟠 Moderate</v>
      </c>
      <c r="H37" s="45" t="s">
        <v>67</v>
      </c>
    </row>
    <row r="38" spans="1:8" ht="17.100000000000001" customHeight="1" x14ac:dyDescent="0.25">
      <c r="A38" s="4" t="s">
        <v>50</v>
      </c>
      <c r="B38" s="5" t="s">
        <v>68</v>
      </c>
      <c r="C38" s="6" t="s">
        <v>52</v>
      </c>
      <c r="D38" s="12">
        <v>0.96</v>
      </c>
      <c r="E38" s="13">
        <f>'Little Wok'!K15</f>
        <v>7.5</v>
      </c>
      <c r="F38" s="14">
        <f t="shared" si="2"/>
        <v>7.1999999999999993</v>
      </c>
      <c r="G38" s="7" t="str">
        <f t="shared" si="3"/>
        <v>🟠 Moderate</v>
      </c>
      <c r="H38" s="45" t="s">
        <v>53</v>
      </c>
    </row>
    <row r="39" spans="1:8" ht="17.100000000000001" customHeight="1" x14ac:dyDescent="0.25">
      <c r="A39" s="4" t="s">
        <v>50</v>
      </c>
      <c r="B39" s="5" t="s">
        <v>69</v>
      </c>
      <c r="C39" s="6" t="s">
        <v>52</v>
      </c>
      <c r="D39" s="12">
        <v>1.75</v>
      </c>
      <c r="E39" s="13">
        <f>'Little Wok'!K16</f>
        <v>6</v>
      </c>
      <c r="F39" s="14">
        <f t="shared" si="2"/>
        <v>10.5</v>
      </c>
      <c r="G39" s="7" t="str">
        <f t="shared" si="3"/>
        <v>🟠 Moderate</v>
      </c>
      <c r="H39" s="45" t="s">
        <v>70</v>
      </c>
    </row>
    <row r="40" spans="1:8" ht="17.100000000000001" customHeight="1" x14ac:dyDescent="0.25">
      <c r="A40" s="4" t="s">
        <v>50</v>
      </c>
      <c r="B40" s="5" t="s">
        <v>71</v>
      </c>
      <c r="C40" s="6" t="s">
        <v>52</v>
      </c>
      <c r="D40" s="12">
        <v>3.17</v>
      </c>
      <c r="E40" s="13">
        <f>'Little Wok'!K17</f>
        <v>3</v>
      </c>
      <c r="F40" s="14">
        <f t="shared" si="2"/>
        <v>9.51</v>
      </c>
      <c r="G40" s="7" t="str">
        <f t="shared" si="3"/>
        <v>🟢 Low</v>
      </c>
      <c r="H40" s="45" t="s">
        <v>53</v>
      </c>
    </row>
    <row r="41" spans="1:8" ht="17.100000000000001" customHeight="1" x14ac:dyDescent="0.25">
      <c r="A41" s="4" t="s">
        <v>50</v>
      </c>
      <c r="B41" s="5" t="s">
        <v>72</v>
      </c>
      <c r="C41" s="6" t="s">
        <v>52</v>
      </c>
      <c r="D41" s="12">
        <v>1.49</v>
      </c>
      <c r="E41" s="13">
        <f>'Little Wok'!K18</f>
        <v>9.5</v>
      </c>
      <c r="F41" s="14">
        <f t="shared" si="2"/>
        <v>14.154999999999999</v>
      </c>
      <c r="G41" s="7" t="str">
        <f t="shared" si="3"/>
        <v>🟠 Moderate</v>
      </c>
      <c r="H41" s="45" t="s">
        <v>53</v>
      </c>
    </row>
    <row r="42" spans="1:8" ht="17.100000000000001" customHeight="1" x14ac:dyDescent="0.25">
      <c r="A42" s="4" t="s">
        <v>50</v>
      </c>
      <c r="B42" s="5" t="s">
        <v>73</v>
      </c>
      <c r="C42" s="6" t="s">
        <v>52</v>
      </c>
      <c r="D42" s="12">
        <v>12.35</v>
      </c>
      <c r="E42" s="13">
        <f>'Little Wok'!K19</f>
        <v>0</v>
      </c>
      <c r="F42" s="14">
        <f t="shared" si="2"/>
        <v>0</v>
      </c>
      <c r="G42" s="7" t="str">
        <f t="shared" si="3"/>
        <v>—</v>
      </c>
      <c r="H42" s="45" t="s">
        <v>74</v>
      </c>
    </row>
    <row r="43" spans="1:8" ht="17.100000000000001" customHeight="1" x14ac:dyDescent="0.25">
      <c r="A43" s="4" t="s">
        <v>50</v>
      </c>
      <c r="B43" s="5" t="s">
        <v>75</v>
      </c>
      <c r="C43" s="6" t="s">
        <v>52</v>
      </c>
      <c r="D43" s="12">
        <v>6.65</v>
      </c>
      <c r="E43" s="13">
        <f>'Little Wok'!K20</f>
        <v>0</v>
      </c>
      <c r="F43" s="14">
        <f t="shared" si="2"/>
        <v>0</v>
      </c>
      <c r="G43" s="7" t="str">
        <f t="shared" si="3"/>
        <v>—</v>
      </c>
      <c r="H43" s="45" t="s">
        <v>76</v>
      </c>
    </row>
    <row r="44" spans="1:8" ht="17.100000000000001" customHeight="1" x14ac:dyDescent="0.25">
      <c r="A44" s="4" t="s">
        <v>50</v>
      </c>
      <c r="B44" s="5" t="s">
        <v>77</v>
      </c>
      <c r="C44" s="6" t="s">
        <v>78</v>
      </c>
      <c r="D44" s="12">
        <v>0.51</v>
      </c>
      <c r="E44" s="13">
        <f>'Little Wok'!K23</f>
        <v>18</v>
      </c>
      <c r="F44" s="14">
        <f t="shared" si="2"/>
        <v>9.18</v>
      </c>
      <c r="G44" s="7" t="str">
        <f t="shared" si="3"/>
        <v>🔴 High Waste</v>
      </c>
      <c r="H44" s="45" t="s">
        <v>79</v>
      </c>
    </row>
    <row r="45" spans="1:8" ht="17.100000000000001" customHeight="1" x14ac:dyDescent="0.25">
      <c r="A45" s="4" t="s">
        <v>50</v>
      </c>
      <c r="B45" s="5" t="s">
        <v>80</v>
      </c>
      <c r="C45" s="6" t="s">
        <v>78</v>
      </c>
      <c r="D45" s="12">
        <v>1.8</v>
      </c>
      <c r="E45" s="13">
        <f>'Little Wok'!K24</f>
        <v>28</v>
      </c>
      <c r="F45" s="14">
        <f t="shared" si="2"/>
        <v>50.4</v>
      </c>
      <c r="G45" s="7" t="str">
        <f t="shared" si="3"/>
        <v>🔴 High Waste</v>
      </c>
      <c r="H45" s="45" t="s">
        <v>81</v>
      </c>
    </row>
    <row r="46" spans="1:8" ht="17.100000000000001" customHeight="1" x14ac:dyDescent="0.25">
      <c r="A46" s="4" t="s">
        <v>50</v>
      </c>
      <c r="B46" s="5" t="s">
        <v>82</v>
      </c>
      <c r="C46" s="6" t="s">
        <v>78</v>
      </c>
      <c r="D46" s="12">
        <v>0.99</v>
      </c>
      <c r="E46" s="13">
        <f>'Little Wok'!K25</f>
        <v>27</v>
      </c>
      <c r="F46" s="14">
        <f t="shared" si="2"/>
        <v>26.73</v>
      </c>
      <c r="G46" s="7" t="str">
        <f t="shared" si="3"/>
        <v>🔴 High Waste</v>
      </c>
      <c r="H46" s="45" t="s">
        <v>81</v>
      </c>
    </row>
    <row r="47" spans="1:8" ht="17.100000000000001" customHeight="1" x14ac:dyDescent="0.25">
      <c r="A47" s="4" t="s">
        <v>50</v>
      </c>
      <c r="B47" s="5" t="s">
        <v>83</v>
      </c>
      <c r="C47" s="6" t="s">
        <v>78</v>
      </c>
      <c r="D47" s="12">
        <v>2.04</v>
      </c>
      <c r="E47" s="13">
        <f>'Little Wok'!K26</f>
        <v>24</v>
      </c>
      <c r="F47" s="14">
        <f t="shared" si="2"/>
        <v>48.96</v>
      </c>
      <c r="G47" s="7" t="str">
        <f t="shared" si="3"/>
        <v>🔴 High Waste</v>
      </c>
      <c r="H47" s="45" t="s">
        <v>55</v>
      </c>
    </row>
    <row r="48" spans="1:8" ht="17.100000000000001" customHeight="1" x14ac:dyDescent="0.25">
      <c r="A48" s="4" t="s">
        <v>50</v>
      </c>
      <c r="B48" s="5" t="s">
        <v>84</v>
      </c>
      <c r="C48" s="6" t="s">
        <v>78</v>
      </c>
      <c r="D48" s="12">
        <v>0.57999999999999996</v>
      </c>
      <c r="E48" s="13">
        <f>'Little Wok'!K27</f>
        <v>22</v>
      </c>
      <c r="F48" s="14">
        <f t="shared" si="2"/>
        <v>12.76</v>
      </c>
      <c r="G48" s="7" t="str">
        <f t="shared" si="3"/>
        <v>🔴 High Waste</v>
      </c>
      <c r="H48" s="45" t="s">
        <v>55</v>
      </c>
    </row>
    <row r="49" spans="1:8" ht="17.100000000000001" customHeight="1" x14ac:dyDescent="0.25">
      <c r="A49" s="4" t="s">
        <v>50</v>
      </c>
      <c r="B49" s="5" t="s">
        <v>85</v>
      </c>
      <c r="C49" s="6" t="s">
        <v>78</v>
      </c>
      <c r="D49" s="12">
        <v>1.1499999999999999</v>
      </c>
      <c r="E49" s="13">
        <f>'Little Wok'!K28</f>
        <v>4</v>
      </c>
      <c r="F49" s="14">
        <f t="shared" si="2"/>
        <v>4.5999999999999996</v>
      </c>
      <c r="G49" s="7" t="str">
        <f t="shared" si="3"/>
        <v>🟢 Low</v>
      </c>
      <c r="H49" s="45" t="s">
        <v>86</v>
      </c>
    </row>
    <row r="50" spans="1:8" ht="17.100000000000001" customHeight="1" x14ac:dyDescent="0.25">
      <c r="A50" s="4" t="s">
        <v>50</v>
      </c>
      <c r="B50" s="5" t="s">
        <v>87</v>
      </c>
      <c r="C50" s="6" t="s">
        <v>78</v>
      </c>
      <c r="D50" s="12">
        <v>7.1749999999999998</v>
      </c>
      <c r="E50" s="13">
        <f>'Little Wok'!K29</f>
        <v>0</v>
      </c>
      <c r="F50" s="14">
        <f t="shared" si="2"/>
        <v>0</v>
      </c>
      <c r="G50" s="7" t="str">
        <f t="shared" si="3"/>
        <v>—</v>
      </c>
      <c r="H50" s="45" t="s">
        <v>88</v>
      </c>
    </row>
    <row r="51" spans="1:8" ht="17.100000000000001" customHeight="1" x14ac:dyDescent="0.25">
      <c r="A51" s="4" t="s">
        <v>50</v>
      </c>
      <c r="B51" s="5" t="s">
        <v>89</v>
      </c>
      <c r="C51" s="6" t="s">
        <v>22</v>
      </c>
      <c r="D51" s="12">
        <v>3.036</v>
      </c>
      <c r="E51" s="13">
        <f>'Little Wok'!K32</f>
        <v>6.5</v>
      </c>
      <c r="F51" s="14">
        <f t="shared" si="2"/>
        <v>19.734000000000002</v>
      </c>
      <c r="G51" s="7" t="str">
        <f t="shared" si="3"/>
        <v>🟠 Moderate</v>
      </c>
      <c r="H51" s="45" t="s">
        <v>55</v>
      </c>
    </row>
    <row r="52" spans="1:8" ht="17.100000000000001" customHeight="1" x14ac:dyDescent="0.25">
      <c r="A52" s="4" t="s">
        <v>50</v>
      </c>
      <c r="B52" s="5" t="s">
        <v>90</v>
      </c>
      <c r="C52" s="6" t="s">
        <v>22</v>
      </c>
      <c r="D52" s="12">
        <v>0.8</v>
      </c>
      <c r="E52" s="13">
        <f>'Little Wok'!K33</f>
        <v>2</v>
      </c>
      <c r="F52" s="14">
        <f t="shared" si="2"/>
        <v>1.6</v>
      </c>
      <c r="G52" s="7" t="str">
        <f t="shared" si="3"/>
        <v>🟢 Low</v>
      </c>
      <c r="H52" s="45" t="s">
        <v>55</v>
      </c>
    </row>
    <row r="53" spans="1:8" ht="17.100000000000001" customHeight="1" x14ac:dyDescent="0.25">
      <c r="A53" s="4" t="s">
        <v>91</v>
      </c>
      <c r="B53" s="5" t="s">
        <v>92</v>
      </c>
      <c r="C53" s="6" t="s">
        <v>22</v>
      </c>
      <c r="D53" s="12">
        <v>8.6</v>
      </c>
      <c r="E53" s="13">
        <f>Agave!K4</f>
        <v>15.5</v>
      </c>
      <c r="F53" s="14">
        <f t="shared" si="2"/>
        <v>133.29999999999998</v>
      </c>
      <c r="G53" s="7" t="str">
        <f t="shared" si="3"/>
        <v>🔴 High Waste</v>
      </c>
      <c r="H53" s="45" t="s">
        <v>93</v>
      </c>
    </row>
    <row r="54" spans="1:8" ht="17.100000000000001" customHeight="1" x14ac:dyDescent="0.25">
      <c r="A54" s="4" t="s">
        <v>91</v>
      </c>
      <c r="B54" s="5" t="s">
        <v>94</v>
      </c>
      <c r="C54" s="6" t="s">
        <v>22</v>
      </c>
      <c r="D54" s="12">
        <v>2.5299999999999998</v>
      </c>
      <c r="E54" s="13">
        <f>Agave!K5</f>
        <v>5.5</v>
      </c>
      <c r="F54" s="14">
        <f t="shared" si="2"/>
        <v>13.914999999999999</v>
      </c>
      <c r="G54" s="7" t="str">
        <f t="shared" si="3"/>
        <v>🟠 Moderate</v>
      </c>
      <c r="H54" s="45" t="s">
        <v>95</v>
      </c>
    </row>
    <row r="55" spans="1:8" ht="17.100000000000001" customHeight="1" x14ac:dyDescent="0.25">
      <c r="A55" s="4" t="s">
        <v>91</v>
      </c>
      <c r="B55" s="5" t="s">
        <v>96</v>
      </c>
      <c r="C55" s="6" t="s">
        <v>22</v>
      </c>
      <c r="D55" s="12">
        <v>6.08</v>
      </c>
      <c r="E55" s="13">
        <f>Agave!K6</f>
        <v>6.5</v>
      </c>
      <c r="F55" s="14">
        <f t="shared" si="2"/>
        <v>39.520000000000003</v>
      </c>
      <c r="G55" s="7" t="str">
        <f t="shared" si="3"/>
        <v>🟠 Moderate</v>
      </c>
      <c r="H55" s="45" t="s">
        <v>97</v>
      </c>
    </row>
    <row r="56" spans="1:8" ht="17.100000000000001" customHeight="1" x14ac:dyDescent="0.25">
      <c r="A56" s="4" t="s">
        <v>91</v>
      </c>
      <c r="B56" s="5" t="s">
        <v>98</v>
      </c>
      <c r="C56" s="6" t="s">
        <v>22</v>
      </c>
      <c r="D56" s="12">
        <v>2.5</v>
      </c>
      <c r="E56" s="13">
        <f>Agave!K7</f>
        <v>8.5</v>
      </c>
      <c r="F56" s="14">
        <f t="shared" si="2"/>
        <v>21.25</v>
      </c>
      <c r="G56" s="7" t="str">
        <f t="shared" si="3"/>
        <v>🟠 Moderate</v>
      </c>
      <c r="H56" s="45" t="s">
        <v>28</v>
      </c>
    </row>
    <row r="57" spans="1:8" ht="17.100000000000001" customHeight="1" x14ac:dyDescent="0.25">
      <c r="A57" s="4" t="s">
        <v>91</v>
      </c>
      <c r="B57" s="5" t="s">
        <v>99</v>
      </c>
      <c r="C57" s="6" t="s">
        <v>22</v>
      </c>
      <c r="D57" s="12">
        <v>7.5</v>
      </c>
      <c r="E57" s="13">
        <f>Agave!K8</f>
        <v>5.5</v>
      </c>
      <c r="F57" s="14">
        <f t="shared" si="2"/>
        <v>41.25</v>
      </c>
      <c r="G57" s="7" t="str">
        <f t="shared" si="3"/>
        <v>🟠 Moderate</v>
      </c>
      <c r="H57" s="45" t="s">
        <v>100</v>
      </c>
    </row>
    <row r="58" spans="1:8" ht="17.100000000000001" customHeight="1" x14ac:dyDescent="0.25">
      <c r="A58" s="4" t="s">
        <v>91</v>
      </c>
      <c r="B58" s="5" t="s">
        <v>101</v>
      </c>
      <c r="C58" s="6" t="s">
        <v>22</v>
      </c>
      <c r="D58" s="12">
        <v>4</v>
      </c>
      <c r="E58" s="13">
        <f>Agave!K9</f>
        <v>0</v>
      </c>
      <c r="F58" s="14">
        <f t="shared" si="2"/>
        <v>0</v>
      </c>
      <c r="G58" s="7" t="str">
        <f t="shared" si="3"/>
        <v>—</v>
      </c>
      <c r="H58" s="45" t="s">
        <v>28</v>
      </c>
    </row>
    <row r="59" spans="1:8" ht="17.100000000000001" customHeight="1" x14ac:dyDescent="0.25">
      <c r="A59" s="4" t="s">
        <v>91</v>
      </c>
      <c r="B59" s="5" t="s">
        <v>102</v>
      </c>
      <c r="C59" s="6" t="s">
        <v>22</v>
      </c>
      <c r="D59" s="12">
        <v>3.5</v>
      </c>
      <c r="E59" s="13">
        <f>Agave!K10</f>
        <v>0</v>
      </c>
      <c r="F59" s="14">
        <f t="shared" si="2"/>
        <v>0</v>
      </c>
      <c r="G59" s="7" t="str">
        <f t="shared" si="3"/>
        <v>—</v>
      </c>
      <c r="H59" s="45" t="s">
        <v>28</v>
      </c>
    </row>
    <row r="60" spans="1:8" ht="17.100000000000001" customHeight="1" x14ac:dyDescent="0.25">
      <c r="A60" s="4" t="s">
        <v>91</v>
      </c>
      <c r="B60" s="5" t="s">
        <v>103</v>
      </c>
      <c r="C60" s="6" t="s">
        <v>22</v>
      </c>
      <c r="D60" s="12">
        <v>2.5</v>
      </c>
      <c r="E60" s="13">
        <f>Agave!K11</f>
        <v>0</v>
      </c>
      <c r="F60" s="14">
        <f t="shared" si="2"/>
        <v>0</v>
      </c>
      <c r="G60" s="7" t="str">
        <f t="shared" si="3"/>
        <v>—</v>
      </c>
      <c r="H60" s="45" t="s">
        <v>28</v>
      </c>
    </row>
    <row r="61" spans="1:8" ht="17.100000000000001" customHeight="1" x14ac:dyDescent="0.25">
      <c r="A61" s="4" t="s">
        <v>91</v>
      </c>
      <c r="B61" s="5" t="s">
        <v>104</v>
      </c>
      <c r="C61" s="6" t="s">
        <v>22</v>
      </c>
      <c r="D61" s="12">
        <v>0.92</v>
      </c>
      <c r="E61" s="13">
        <f>Agave!K14</f>
        <v>4</v>
      </c>
      <c r="F61" s="14">
        <f t="shared" si="2"/>
        <v>3.68</v>
      </c>
      <c r="G61" s="7" t="str">
        <f t="shared" si="3"/>
        <v>🟢 Low</v>
      </c>
      <c r="H61" s="45" t="s">
        <v>105</v>
      </c>
    </row>
    <row r="62" spans="1:8" ht="17.100000000000001" customHeight="1" x14ac:dyDescent="0.25">
      <c r="A62" s="4" t="s">
        <v>91</v>
      </c>
      <c r="B62" s="5" t="s">
        <v>106</v>
      </c>
      <c r="C62" s="6" t="s">
        <v>22</v>
      </c>
      <c r="D62" s="12">
        <v>0.92</v>
      </c>
      <c r="E62" s="13">
        <f>Agave!K15</f>
        <v>6</v>
      </c>
      <c r="F62" s="14">
        <f t="shared" si="2"/>
        <v>5.5200000000000005</v>
      </c>
      <c r="G62" s="7" t="str">
        <f t="shared" si="3"/>
        <v>🟠 Moderate</v>
      </c>
      <c r="H62" s="45" t="s">
        <v>107</v>
      </c>
    </row>
    <row r="63" spans="1:8" ht="17.100000000000001" customHeight="1" x14ac:dyDescent="0.25">
      <c r="A63" s="4" t="s">
        <v>91</v>
      </c>
      <c r="B63" s="5" t="s">
        <v>108</v>
      </c>
      <c r="C63" s="6" t="s">
        <v>22</v>
      </c>
      <c r="D63" s="12">
        <v>0.54</v>
      </c>
      <c r="E63" s="13">
        <f>Agave!K16</f>
        <v>9.5</v>
      </c>
      <c r="F63" s="14">
        <f t="shared" si="2"/>
        <v>5.1300000000000008</v>
      </c>
      <c r="G63" s="7" t="str">
        <f t="shared" si="3"/>
        <v>🟠 Moderate</v>
      </c>
      <c r="H63" s="45" t="s">
        <v>109</v>
      </c>
    </row>
    <row r="64" spans="1:8" ht="17.100000000000001" customHeight="1" x14ac:dyDescent="0.25">
      <c r="A64" s="4" t="s">
        <v>91</v>
      </c>
      <c r="B64" s="5" t="s">
        <v>110</v>
      </c>
      <c r="C64" s="6" t="s">
        <v>22</v>
      </c>
      <c r="D64" s="12">
        <v>1.9</v>
      </c>
      <c r="E64" s="13">
        <f>Agave!K17</f>
        <v>13</v>
      </c>
      <c r="F64" s="14">
        <f t="shared" si="2"/>
        <v>24.7</v>
      </c>
      <c r="G64" s="7" t="str">
        <f t="shared" si="3"/>
        <v>🔴 High Waste</v>
      </c>
      <c r="H64" s="45" t="s">
        <v>111</v>
      </c>
    </row>
    <row r="65" spans="1:8" ht="17.100000000000001" customHeight="1" x14ac:dyDescent="0.25">
      <c r="A65" s="4" t="s">
        <v>91</v>
      </c>
      <c r="B65" s="5" t="s">
        <v>112</v>
      </c>
      <c r="C65" s="6" t="s">
        <v>22</v>
      </c>
      <c r="D65" s="12">
        <v>0.61</v>
      </c>
      <c r="E65" s="13">
        <f>Agave!K20</f>
        <v>0</v>
      </c>
      <c r="F65" s="14">
        <f t="shared" si="2"/>
        <v>0</v>
      </c>
      <c r="G65" s="7" t="str">
        <f t="shared" si="3"/>
        <v>—</v>
      </c>
      <c r="H65" s="45" t="s">
        <v>113</v>
      </c>
    </row>
    <row r="66" spans="1:8" ht="17.100000000000001" customHeight="1" x14ac:dyDescent="0.25">
      <c r="A66" s="4" t="s">
        <v>91</v>
      </c>
      <c r="B66" s="5" t="s">
        <v>114</v>
      </c>
      <c r="C66" s="6" t="s">
        <v>22</v>
      </c>
      <c r="D66" s="12">
        <v>0.51</v>
      </c>
      <c r="E66" s="13">
        <f>Agave!K21</f>
        <v>0</v>
      </c>
      <c r="F66" s="14">
        <f t="shared" si="2"/>
        <v>0</v>
      </c>
      <c r="G66" s="7" t="str">
        <f t="shared" si="3"/>
        <v>—</v>
      </c>
      <c r="H66" s="45" t="s">
        <v>109</v>
      </c>
    </row>
    <row r="67" spans="1:8" ht="17.100000000000001" customHeight="1" x14ac:dyDescent="0.25">
      <c r="A67" s="4" t="s">
        <v>91</v>
      </c>
      <c r="B67" s="5" t="s">
        <v>115</v>
      </c>
      <c r="C67" s="6" t="s">
        <v>22</v>
      </c>
      <c r="D67" s="12">
        <v>0.56999999999999995</v>
      </c>
      <c r="E67" s="13">
        <f>Agave!K22</f>
        <v>0</v>
      </c>
      <c r="F67" s="14">
        <f t="shared" si="2"/>
        <v>0</v>
      </c>
      <c r="G67" s="7" t="str">
        <f t="shared" si="3"/>
        <v>—</v>
      </c>
      <c r="H67" s="45" t="s">
        <v>116</v>
      </c>
    </row>
    <row r="68" spans="1:8" ht="17.100000000000001" customHeight="1" x14ac:dyDescent="0.25">
      <c r="A68" s="4" t="s">
        <v>91</v>
      </c>
      <c r="B68" s="5" t="s">
        <v>117</v>
      </c>
      <c r="C68" s="6" t="s">
        <v>22</v>
      </c>
      <c r="D68" s="12">
        <v>2</v>
      </c>
      <c r="E68" s="13">
        <f>Agave!K23</f>
        <v>4</v>
      </c>
      <c r="F68" s="14">
        <f t="shared" ref="F68:F75" si="4">IFERROR(D68*E68,0)</f>
        <v>8</v>
      </c>
      <c r="G68" s="7" t="str">
        <f t="shared" ref="G68:G75" si="5">IF(E68&gt;0,IF(E68&gt;=10,"🔴 High Waste",IF(E68&gt;=5,"🟠 Moderate","🟢 Low")),"—")</f>
        <v>🟢 Low</v>
      </c>
      <c r="H68" s="45" t="s">
        <v>100</v>
      </c>
    </row>
    <row r="69" spans="1:8" ht="17.100000000000001" customHeight="1" x14ac:dyDescent="0.25">
      <c r="A69" s="4" t="s">
        <v>91</v>
      </c>
      <c r="B69" s="5" t="s">
        <v>118</v>
      </c>
      <c r="C69" s="6" t="s">
        <v>22</v>
      </c>
      <c r="D69" s="12">
        <v>0.8</v>
      </c>
      <c r="E69" s="13">
        <f>Agave!K24</f>
        <v>9</v>
      </c>
      <c r="F69" s="14">
        <f t="shared" si="4"/>
        <v>7.2</v>
      </c>
      <c r="G69" s="7" t="str">
        <f t="shared" si="5"/>
        <v>🟠 Moderate</v>
      </c>
      <c r="H69" s="45" t="s">
        <v>24</v>
      </c>
    </row>
    <row r="70" spans="1:8" ht="17.100000000000001" customHeight="1" x14ac:dyDescent="0.25">
      <c r="A70" s="4" t="s">
        <v>91</v>
      </c>
      <c r="B70" s="5" t="s">
        <v>119</v>
      </c>
      <c r="C70" s="6" t="s">
        <v>22</v>
      </c>
      <c r="D70" s="12">
        <v>0.54</v>
      </c>
      <c r="E70" s="13">
        <f>Agave!K25</f>
        <v>0</v>
      </c>
      <c r="F70" s="14">
        <f t="shared" si="4"/>
        <v>0</v>
      </c>
      <c r="G70" s="7" t="str">
        <f t="shared" si="5"/>
        <v>—</v>
      </c>
      <c r="H70" s="45" t="s">
        <v>120</v>
      </c>
    </row>
    <row r="71" spans="1:8" ht="17.100000000000001" customHeight="1" x14ac:dyDescent="0.25">
      <c r="A71" s="4" t="s">
        <v>91</v>
      </c>
      <c r="B71" s="5" t="s">
        <v>121</v>
      </c>
      <c r="C71" s="6" t="s">
        <v>22</v>
      </c>
      <c r="D71" s="12">
        <v>0.28000000000000003</v>
      </c>
      <c r="E71" s="13">
        <f>Agave!K26</f>
        <v>0</v>
      </c>
      <c r="F71" s="14">
        <f t="shared" si="4"/>
        <v>0</v>
      </c>
      <c r="G71" s="7" t="str">
        <f t="shared" si="5"/>
        <v>—</v>
      </c>
      <c r="H71" s="45" t="s">
        <v>122</v>
      </c>
    </row>
    <row r="72" spans="1:8" ht="17.100000000000001" customHeight="1" x14ac:dyDescent="0.25">
      <c r="A72" s="4" t="s">
        <v>91</v>
      </c>
      <c r="B72" s="5" t="s">
        <v>123</v>
      </c>
      <c r="C72" s="6" t="s">
        <v>12</v>
      </c>
      <c r="D72" s="12">
        <v>0.15</v>
      </c>
      <c r="E72" s="13">
        <f>Agave!K27</f>
        <v>2</v>
      </c>
      <c r="F72" s="14">
        <f t="shared" si="4"/>
        <v>0.3</v>
      </c>
      <c r="G72" s="7" t="str">
        <f t="shared" si="5"/>
        <v>🟢 Low</v>
      </c>
      <c r="H72" s="45" t="s">
        <v>124</v>
      </c>
    </row>
    <row r="73" spans="1:8" ht="17.100000000000001" customHeight="1" x14ac:dyDescent="0.25">
      <c r="A73" s="4" t="s">
        <v>91</v>
      </c>
      <c r="B73" s="5" t="s">
        <v>125</v>
      </c>
      <c r="C73" s="6" t="s">
        <v>22</v>
      </c>
      <c r="D73" s="12">
        <v>0.3</v>
      </c>
      <c r="E73" s="13">
        <f>Agave!K28</f>
        <v>0</v>
      </c>
      <c r="F73" s="14">
        <f t="shared" si="4"/>
        <v>0</v>
      </c>
      <c r="G73" s="7" t="str">
        <f t="shared" si="5"/>
        <v>—</v>
      </c>
      <c r="H73" s="45" t="s">
        <v>28</v>
      </c>
    </row>
    <row r="74" spans="1:8" ht="17.100000000000001" customHeight="1" x14ac:dyDescent="0.25">
      <c r="A74" s="4" t="s">
        <v>91</v>
      </c>
      <c r="B74" s="5" t="s">
        <v>126</v>
      </c>
      <c r="C74" s="6" t="s">
        <v>22</v>
      </c>
      <c r="D74" s="12">
        <v>0.25</v>
      </c>
      <c r="E74" s="13">
        <f>Agave!K29</f>
        <v>0</v>
      </c>
      <c r="F74" s="14">
        <f t="shared" si="4"/>
        <v>0</v>
      </c>
      <c r="G74" s="7" t="str">
        <f t="shared" si="5"/>
        <v>—</v>
      </c>
      <c r="H74" s="45" t="s">
        <v>28</v>
      </c>
    </row>
    <row r="75" spans="1:8" ht="17.100000000000001" customHeight="1" x14ac:dyDescent="0.25">
      <c r="A75" s="4" t="s">
        <v>91</v>
      </c>
      <c r="B75" s="5" t="s">
        <v>127</v>
      </c>
      <c r="C75" s="6" t="s">
        <v>22</v>
      </c>
      <c r="D75" s="12">
        <v>0.4</v>
      </c>
      <c r="E75" s="13">
        <f>Agave!K30</f>
        <v>0</v>
      </c>
      <c r="F75" s="14">
        <f t="shared" si="4"/>
        <v>0</v>
      </c>
      <c r="G75" s="7" t="str">
        <f t="shared" si="5"/>
        <v>—</v>
      </c>
      <c r="H75" s="45" t="s">
        <v>28</v>
      </c>
    </row>
    <row r="76" spans="1:8" ht="24" customHeight="1" x14ac:dyDescent="0.25">
      <c r="A76" s="74" t="s">
        <v>128</v>
      </c>
      <c r="B76" s="75"/>
      <c r="C76" s="76"/>
      <c r="D76" s="8"/>
      <c r="E76" s="15">
        <f>SUM(E4:E75)</f>
        <v>786.5</v>
      </c>
      <c r="F76" s="16">
        <f>SUM(F4:F75)</f>
        <v>1820.7090000000001</v>
      </c>
      <c r="G76" s="8"/>
    </row>
    <row r="78" spans="1:8" ht="20.100000000000001" customHeight="1" x14ac:dyDescent="0.25">
      <c r="A78" s="78" t="s">
        <v>129</v>
      </c>
      <c r="B78" s="73"/>
      <c r="C78" s="73"/>
      <c r="D78" s="73"/>
      <c r="E78" s="73"/>
      <c r="F78" s="73"/>
      <c r="G78" s="73"/>
    </row>
    <row r="80" spans="1:8" ht="30" customHeight="1" x14ac:dyDescent="0.25"/>
    <row r="82" ht="30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</sheetData>
  <mergeCells count="4">
    <mergeCell ref="A1:H1"/>
    <mergeCell ref="A76:C76"/>
    <mergeCell ref="A2:H2"/>
    <mergeCell ref="A78:G78"/>
  </mergeCells>
  <conditionalFormatting sqref="E4:E75">
    <cfRule type="cellIs" dxfId="2" priority="1" operator="greaterThanOrEqual">
      <formula>10</formula>
    </cfRule>
    <cfRule type="cellIs" dxfId="1" priority="2" operator="between">
      <formula>5</formula>
      <formula>9.99</formula>
    </cfRule>
    <cfRule type="cellIs" dxfId="0" priority="3" operator="between">
      <formula>0.1</formula>
      <formula>4.99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By Station Dashboard</vt:lpstr>
      <vt:lpstr>PFC Product</vt:lpstr>
      <vt:lpstr>Pronto Product</vt:lpstr>
      <vt:lpstr>Little Wok</vt:lpstr>
      <vt:lpstr>Agave</vt:lpstr>
      <vt:lpstr>Print Out</vt:lpstr>
      <vt:lpstr>📊 Waste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Bedolla</cp:lastModifiedBy>
  <cp:lastPrinted>2026-03-28T02:31:12Z</cp:lastPrinted>
  <dcterms:created xsi:type="dcterms:W3CDTF">2026-03-28T00:28:33Z</dcterms:created>
  <dcterms:modified xsi:type="dcterms:W3CDTF">2026-03-28T03:33:41Z</dcterms:modified>
</cp:coreProperties>
</file>